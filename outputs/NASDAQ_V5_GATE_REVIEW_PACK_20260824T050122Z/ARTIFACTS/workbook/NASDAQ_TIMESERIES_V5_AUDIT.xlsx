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7fd2da85746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f8036e236cc94052"/>
    <x:sheet xmlns:r="http://schemas.openxmlformats.org/officeDocument/2006/relationships" name="Observations" sheetId="2" r:id="R39aa6170f7b943c5"/>
    <x:sheet xmlns:r="http://schemas.openxmlformats.org/officeDocument/2006/relationships" name="Vintages" sheetId="3" r:id="R3efc007c1c4d4001"/>
    <x:sheet xmlns:r="http://schemas.openxmlformats.org/officeDocument/2006/relationships" name="Features" sheetId="4" r:id="R8af1fc6a76f447e4"/>
    <x:sheet xmlns:r="http://schemas.openxmlformats.org/officeDocument/2006/relationships" name="Forecasts" sheetId="5" r:id="R96e813a37157468f"/>
    <x:sheet xmlns:r="http://schemas.openxmlformats.org/officeDocument/2006/relationships" name="Backtest" sheetId="6" r:id="Rff72db5cb084459f"/>
    <x:sheet xmlns:r="http://schemas.openxmlformats.org/officeDocument/2006/relationships" name="ModelCard" sheetId="7" r:id="R20609dae0792431f"/>
    <x:sheet xmlns:r="http://schemas.openxmlformats.org/officeDocument/2006/relationships" name="RunManifest" sheetId="8" r:id="R1efa3f93b4b44d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:ss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02A43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DCE9F8"/>
      </x:patternFill>
    </x:fill>
  </x:fills>
  <x:borders count="3">
    <x:border/>
    <x:border>
      <x:left style="thin">
        <x:color rgb="FFC8D2E0"/>
      </x:left>
      <x:right style="thin">
        <x:color rgb="FFC8D2E0"/>
      </x:right>
      <x:top style="thin">
        <x:color rgb="FFC8D2E0"/>
      </x:top>
      <x:bottom style="thin">
        <x:color rgb="FFC8D2E0"/>
      </x:bottom>
    </x:border>
    <x:border>
      <x:left style="thin">
        <x:color rgb="FFE5EAF0"/>
      </x:left>
      <x:right style="thin">
        <x:color rgb="FFE5EAF0"/>
      </x:right>
      <x:top style="thin">
        <x:color rgb="FFE5EAF0"/>
      </x:top>
      <x:bottom style="thin">
        <x:color rgb="FFE5EAF0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2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baf6e278b43f4" /><Relationship Type="http://schemas.openxmlformats.org/officeDocument/2006/relationships/theme" Target="/xl/theme/theme1.xml" Id="R134255ff546040a9" /><Relationship Type="http://schemas.microsoft.com/office/2022/11/relationships/FeaturePropertyBag" Target="/xl/featurePropertyBag/featurePropertyBag.xml" Id="R86846826f30743ce" /><Relationship Type="http://schemas.openxmlformats.org/officeDocument/2006/relationships/sharedStrings" Target="/xl/sharedStrings.xml" Id="R7fd06abfa54b408d" /><Relationship Type="http://schemas.openxmlformats.org/officeDocument/2006/relationships/worksheet" Target="/xl/worksheets/sheet1.xml" Id="Rf8036e236cc94052" /><Relationship Type="http://schemas.openxmlformats.org/officeDocument/2006/relationships/worksheet" Target="/xl/worksheets/sheet2.xml" Id="R39aa6170f7b943c5" /><Relationship Type="http://schemas.openxmlformats.org/officeDocument/2006/relationships/worksheet" Target="/xl/worksheets/sheet3.xml" Id="R3efc007c1c4d4001" /><Relationship Type="http://schemas.openxmlformats.org/officeDocument/2006/relationships/worksheet" Target="/xl/worksheets/sheet4.xml" Id="R8af1fc6a76f447e4" /><Relationship Type="http://schemas.openxmlformats.org/officeDocument/2006/relationships/worksheet" Target="/xl/worksheets/sheet5.xml" Id="R96e813a37157468f" /><Relationship Type="http://schemas.openxmlformats.org/officeDocument/2006/relationships/worksheet" Target="/xl/worksheets/sheet6.xml" Id="Rff72db5cb084459f" /><Relationship Type="http://schemas.openxmlformats.org/officeDocument/2006/relationships/worksheet" Target="/xl/worksheets/sheet7.xml" Id="R20609dae0792431f" /><Relationship Type="http://schemas.openxmlformats.org/officeDocument/2006/relationships/worksheet" Target="/xl/worksheets/sheet8.xml" Id="R1efa3f93b4b44d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.5" hidden="0" customWidth="1"/>
    <x:col min="3" max="3" width="24.1299991607666" hidden="0" customWidth="1"/>
    <x:col min="4" max="4" width="23.3799991607666" hidden="0" customWidth="1"/>
    <x:col min="5" max="5" width="11.380000114440918" hidden="0" customWidth="1"/>
    <x:col min="6" max="6" width="18.6299991607666" hidden="0" customWidth="1"/>
    <x:col min="7" max="7" width="32.5" hidden="0" customWidth="1"/>
  </x:cols>
  <x:sheetData>
    <x:row r="1" ht="28" customHeight="1">
      <x:c r="A1" s="3" t="str">
        <x:v>NASDAQ V5 · Sources</x:v>
      </x:c>
      <x:c r="B1" s="3" t="str">
        <x:v>NASDAQ V5 · Sources</x:v>
      </x:c>
      <x:c r="C1" s="3" t="str">
        <x:v>NASDAQ V5 · Sources</x:v>
      </x:c>
      <x:c r="D1" s="3" t="str">
        <x:v>NASDAQ V5 · Sources</x:v>
      </x:c>
      <x:c r="E1" s="3" t="str">
        <x:v>NASDAQ V5 · Sources</x:v>
      </x:c>
      <x:c r="F1" s="3" t="str">
        <x:v>NASDAQ V5 · Sources</x:v>
      </x:c>
      <x:c r="G1" s="3" t="str">
        <x:v>NASDAQ V5 · Sources</x:v>
      </x:c>
    </x:row>
    <x:row r="3" ht="15" hidden="0" customHeight="1">
      <x:c r="A3" s="7" t="str">
        <x:v>source_id</x:v>
      </x:c>
      <x:c r="B3" s="7" t="str">
        <x:v>provider</x:v>
      </x:c>
      <x:c r="C3" s="7" t="str">
        <x:v>authority_class</x:v>
      </x:c>
      <x:c r="D3" s="7" t="str">
        <x:v>data_grade</x:v>
      </x:c>
      <x:c r="E3" s="7" t="str">
        <x:v>cadence</x:v>
      </x:c>
      <x:c r="F3" s="7" t="str">
        <x:v>redistribution</x:v>
      </x:c>
      <x:c r="G3" s="7" t="str">
        <x:v>source_url</x:v>
      </x:c>
    </x:row>
    <x:row r="4" ht="15" hidden="0" customHeight="1">
      <x:c r="A4" s="9" t="str">
        <x:v>cboe_vix</x:v>
      </x:c>
      <x:c r="B4" s="9" t="str">
        <x:v>Cboe</x:v>
      </x:c>
      <x:c r="C4" s="9" t="str">
        <x:v>core_market</x:v>
      </x:c>
      <x:c r="D4" s="9" t="str">
        <x:v>reconstructed_market_archive</x:v>
      </x:c>
      <x:c r="E4" s="9" t="str">
        <x:v>daily</x:v>
      </x:c>
      <x:c r="F4" s="9" t="str">
        <x:v>private_object_only</x:v>
      </x:c>
      <x:c r="G4" s="9" t="str">
        <x:v>https://cdn.cboe.com/api/global/us_indices/daily_prices/VIX_History.csv</x:v>
      </x:c>
    </x:row>
    <x:row r="5" ht="15" hidden="0" customHeight="1">
      <x:c r="A5" s="9" t="str">
        <x:v>cboe_vix9d</x:v>
      </x:c>
      <x:c r="B5" s="9" t="str">
        <x:v>Cboe</x:v>
      </x:c>
      <x:c r="C5" s="9" t="str">
        <x:v>core_market</x:v>
      </x:c>
      <x:c r="D5" s="9" t="str">
        <x:v>reconstructed_market_archive</x:v>
      </x:c>
      <x:c r="E5" s="9" t="str">
        <x:v>daily</x:v>
      </x:c>
      <x:c r="F5" s="9" t="str">
        <x:v>private_object_only</x:v>
      </x:c>
      <x:c r="G5" s="9" t="str">
        <x:v>https://cdn.cboe.com/api/global/us_indices/daily_prices/VIX9D_History.csv</x:v>
      </x:c>
    </x:row>
    <x:row r="6" ht="15" hidden="0" customHeight="1">
      <x:c r="A6" s="9" t="str">
        <x:v>cboe_vix3m</x:v>
      </x:c>
      <x:c r="B6" s="9" t="str">
        <x:v>Cboe</x:v>
      </x:c>
      <x:c r="C6" s="9" t="str">
        <x:v>core_market</x:v>
      </x:c>
      <x:c r="D6" s="9" t="str">
        <x:v>reconstructed_market_archive</x:v>
      </x:c>
      <x:c r="E6" s="9" t="str">
        <x:v>daily</x:v>
      </x:c>
      <x:c r="F6" s="9" t="str">
        <x:v>private_object_only</x:v>
      </x:c>
      <x:c r="G6" s="9" t="str">
        <x:v>https://cdn.cboe.com/api/global/us_indices/daily_prices/VIX3M_History.csv</x:v>
      </x:c>
    </x:row>
    <x:row r="7" ht="15" hidden="0" customHeight="1">
      <x:c r="A7" s="9" t="str">
        <x:v>cboe_vvix</x:v>
      </x:c>
      <x:c r="B7" s="9" t="str">
        <x:v>Cboe</x:v>
      </x:c>
      <x:c r="C7" s="9" t="str">
        <x:v>core_market</x:v>
      </x:c>
      <x:c r="D7" s="9" t="str">
        <x:v>reconstructed_market_archive</x:v>
      </x:c>
      <x:c r="E7" s="9" t="str">
        <x:v>daily</x:v>
      </x:c>
      <x:c r="F7" s="9" t="str">
        <x:v>private_object_only</x:v>
      </x:c>
      <x:c r="G7" s="9" t="str">
        <x:v>https://cdn.cboe.com/api/global/us_indices/daily_prices/VVIX_History.csv</x:v>
      </x:c>
    </x:row>
    <x:row r="8" ht="15" hidden="0" customHeight="1">
      <x:c r="A8" s="9" t="str">
        <x:v>cboe_skew</x:v>
      </x:c>
      <x:c r="B8" s="9" t="str">
        <x:v>Cboe</x:v>
      </x:c>
      <x:c r="C8" s="9" t="str">
        <x:v>core_market</x:v>
      </x:c>
      <x:c r="D8" s="9" t="str">
        <x:v>reconstructed_market_archive</x:v>
      </x:c>
      <x:c r="E8" s="9" t="str">
        <x:v>daily</x:v>
      </x:c>
      <x:c r="F8" s="9" t="str">
        <x:v>private_object_only</x:v>
      </x:c>
      <x:c r="G8" s="9" t="str">
        <x:v>https://cdn.cboe.com/api/global/us_indices/daily_prices/SKEW_History.csv</x:v>
      </x:c>
    </x:row>
    <x:row r="9" ht="15" hidden="0" customHeight="1">
      <x:c r="A9" s="9" t="str">
        <x:v>ofr_fsi</x:v>
      </x:c>
      <x:c r="B9" s="9" t="str">
        <x:v>Office of Financial Research</x:v>
      </x:c>
      <x:c r="C9" s="9" t="str">
        <x:v>official_reconstructed</x:v>
      </x:c>
      <x:c r="D9" s="9" t="str">
        <x:v>reconstructed_official_archive</x:v>
      </x:c>
      <x:c r="E9" s="9" t="str">
        <x:v>daily_t_plus_2</x:v>
      </x:c>
      <x:c r="F9" s="9" t="str">
        <x:v>repository_raw_allowed</x:v>
      </x:c>
      <x:c r="G9" s="9" t="str">
        <x:v>https://www.financialresearch.gov/financial-stress-index/data/fsi.csv</x:v>
      </x:c>
    </x:row>
    <x:row r="10" ht="15" hidden="0" customHeight="1">
      <x:c r="A10" s="9" t="str">
        <x:v>fed_ebp</x:v>
      </x:c>
      <x:c r="B10" s="9" t="str">
        <x:v>Federal Reserve Board staff</x:v>
      </x:c>
      <x:c r="C10" s="9" t="str">
        <x:v>official_research_reconstructed</x:v>
      </x:c>
      <x:c r="D10" s="9" t="str">
        <x:v>reconstructed_official_archive</x:v>
      </x:c>
      <x:c r="E10" s="9" t="str">
        <x:v>monthly</x:v>
      </x:c>
      <x:c r="F10" s="9" t="str">
        <x:v>repository_raw_allowed</x:v>
      </x:c>
      <x:c r="G10" s="9" t="str">
        <x:v>https://www.federalreserve.gov/econres/notes/feds-notes/ebp_csv.csv</x:v>
      </x:c>
    </x:row>
    <x:row r="11" ht="15" hidden="0" customHeight="1">
      <x:c r="A11" s="9" t="str">
        <x:v>nyfed_cmdi</x:v>
      </x:c>
      <x:c r="B11" s="9" t="str">
        <x:v>Federal Reserve Bank of New York</x:v>
      </x:c>
      <x:c r="C11" s="9" t="str">
        <x:v>official_research_reconstructed</x:v>
      </x:c>
      <x:c r="D11" s="9" t="str">
        <x:v>reconstructed_official_archive</x:v>
      </x:c>
      <x:c r="E11" s="9" t="str">
        <x:v>monthly</x:v>
      </x:c>
      <x:c r="F11" s="9" t="str">
        <x:v>repository_raw_allowed</x:v>
      </x:c>
      <x:c r="G11" s="9" t="str">
        <x:v>https://www.newyorkfed.org/medialibrary/research/interactives/data/cmdi/cmdi_interactive_data.xlsx</x:v>
      </x:c>
    </x:row>
    <x:row r="12" ht="15" hidden="0" customHeight="1">
      <x:c r="A12" s="9" t="str">
        <x:v>chicago_fed_nfci</x:v>
      </x:c>
      <x:c r="B12" s="9" t="str">
        <x:v>Federal Reserve Bank of Chicago via FRED</x:v>
      </x:c>
      <x:c r="C12" s="9" t="str">
        <x:v>official_current_archive</x:v>
      </x:c>
      <x:c r="D12" s="9" t="str">
        <x:v>reconstructed_official_archive</x:v>
      </x:c>
      <x:c r="E12" s="9" t="str">
        <x:v>weekly</x:v>
      </x:c>
      <x:c r="F12" s="9" t="str">
        <x:v>private_object_only</x:v>
      </x:c>
      <x:c r="G12" s="9" t="str">
        <x:v>https://fred.stlouisfed.org/graph/fredgraph.csv?id=NFCI</x:v>
      </x:c>
    </x:row>
    <x:row r="13" ht="15" hidden="0" customHeight="1">
      <x:c r="A13" s="9" t="str">
        <x:v>fred_nasdaqcom</x:v>
      </x:c>
      <x:c r="B13" s="9" t="str">
        <x:v>Nasdaq via FRED</x:v>
      </x:c>
      <x:c r="C13" s="9" t="str">
        <x:v>core_market</x:v>
      </x:c>
      <x:c r="D13" s="9" t="str">
        <x:v>reconstructed_market_archive</x:v>
      </x:c>
      <x:c r="E13" s="9" t="str">
        <x:v>daily</x:v>
      </x:c>
      <x:c r="F13" s="9" t="str">
        <x:v>private_object_only</x:v>
      </x:c>
      <x:c r="G13" s="9" t="str">
        <x:v>https://fred.stlouisfed.org/graph/fredgraph.csv?id=NASDAQCOM&amp;cosd=1995-01-01</x:v>
      </x:c>
    </x:row>
    <x:row r="14" ht="15" hidden="0" customHeight="1">
      <x:c r="A14" s="9" t="str">
        <x:v>fred_h10_dollar</x:v>
      </x:c>
      <x:c r="B14" s="9" t="str">
        <x:v>Federal Reserve H.10 via FRED</x:v>
      </x:c>
      <x:c r="C14" s="9" t="str">
        <x:v>core_market</x:v>
      </x:c>
      <x:c r="D14" s="9" t="str">
        <x:v>reconstructed_market_archive</x:v>
      </x:c>
      <x:c r="E14" s="9" t="str">
        <x:v>daily</x:v>
      </x:c>
      <x:c r="F14" s="9" t="str">
        <x:v>private_object_only</x:v>
      </x:c>
      <x:c r="G14" s="9" t="str">
        <x:v>https://fred.stlouisfed.org/graph/fredgraph.csv?id=DTWEXBGS&amp;cosd=2006-01-01</x:v>
      </x:c>
    </x:row>
    <x:row r="15" ht="15" hidden="0" customHeight="1">
      <x:c r="A15" s="9" t="str">
        <x:v>treasury_dts</x:v>
      </x:c>
      <x:c r="B15" s="9" t="str">
        <x:v>U.S. Treasury Fiscal Data</x:v>
      </x:c>
      <x:c r="C15" s="9" t="str">
        <x:v>official</x:v>
      </x:c>
      <x:c r="D15" s="9" t="str">
        <x:v>reconstructed_official_archive</x:v>
      </x:c>
      <x:c r="E15" s="9" t="str">
        <x:v>daily</x:v>
      </x:c>
      <x:c r="F15" s="9" t="str">
        <x:v>repository_raw_allowed</x:v>
      </x:c>
      <x:c r="G15" s="9" t="str">
        <x:v>https://api.fiscaldata.treasury.gov/services/api/fiscal_service/v1/accounting/dts/operating_cash_balance?sort=-record_date&amp;page[size]=10000</x:v>
      </x:c>
    </x:row>
    <x:row r="16" ht="15" hidden="0" customHeight="1">
      <x:c r="A16" s="9" t="str">
        <x:v>treasury_yield_curve</x:v>
      </x:c>
      <x:c r="B16" s="9" t="str">
        <x:v>U.S. Treasury</x:v>
      </x:c>
      <x:c r="C16" s="9" t="str">
        <x:v>official</x:v>
      </x:c>
      <x:c r="D16" s="9" t="str">
        <x:v>reconstructed_official_archive</x:v>
      </x:c>
      <x:c r="E16" s="9" t="str">
        <x:v>daily</x:v>
      </x:c>
      <x:c r="F16" s="9" t="str">
        <x:v>repository_raw_allowed</x:v>
      </x:c>
      <x:c r="G16" s="9" t="str">
        <x:v>https://home.treasury.gov/resource-center/data-chart-center/interest-rates/pages/xml?data=daily_treasury_yield_curve&amp;field_tdr_date_value=2026</x:v>
      </x:c>
    </x:row>
    <x:row r="17" ht="15" hidden="0" customHeight="1">
      <x:c r="A17" s="9" t="str">
        <x:v>treasury_real_yield_curve</x:v>
      </x:c>
      <x:c r="B17" s="9" t="str">
        <x:v>U.S. Treasury</x:v>
      </x:c>
      <x:c r="C17" s="9" t="str">
        <x:v>official</x:v>
      </x:c>
      <x:c r="D17" s="9" t="str">
        <x:v>reconstructed_official_archive</x:v>
      </x:c>
      <x:c r="E17" s="9" t="str">
        <x:v>daily</x:v>
      </x:c>
      <x:c r="F17" s="9" t="str">
        <x:v>repository_raw_allowed</x:v>
      </x:c>
      <x:c r="G17" s="9" t="str">
        <x:v>https://home.treasury.gov/resource-center/data-chart-center/interest-rates/pages/xml?data=daily_treasury_real_yield_curve&amp;field_tdr_date_value=2026</x:v>
      </x:c>
    </x:row>
    <x:row r="18" ht="15" hidden="0" customHeight="1">
      <x:c r="A18" s="9" t="str">
        <x:v>nyfed_reference_rates</x:v>
      </x:c>
      <x:c r="B18" s="9" t="str">
        <x:v>Federal Reserve Bank of New York</x:v>
      </x:c>
      <x:c r="C18" s="9" t="str">
        <x:v>official</x:v>
      </x:c>
      <x:c r="D18" s="9" t="str">
        <x:v>captured_forward</x:v>
      </x:c>
      <x:c r="E18" s="9" t="str">
        <x:v>daily</x:v>
      </x:c>
      <x:c r="F18" s="9" t="str">
        <x:v>repository_raw_allowed</x:v>
      </x:c>
      <x:c r="G18" s="9" t="str">
        <x:v>https://markets.newyorkfed.org/api/rates/all/latest.json</x:v>
      </x:c>
    </x:row>
    <x:row r="19" ht="15" hidden="0" customHeight="1">
      <x:c r="A19" s="9" t="str">
        <x:v>fed_h41_walcl</x:v>
      </x:c>
      <x:c r="B19" s="9" t="str">
        <x:v>Federal Reserve H.4.1 via FRED</x:v>
      </x:c>
      <x:c r="C19" s="9" t="str">
        <x:v>official_current_archive</x:v>
      </x:c>
      <x:c r="D19" s="9" t="str">
        <x:v>reconstructed_official_archive</x:v>
      </x:c>
      <x:c r="E19" s="9" t="str">
        <x:v>weekly</x:v>
      </x:c>
      <x:c r="F19" s="9" t="str">
        <x:v>private_object_only</x:v>
      </x:c>
      <x:c r="G19" s="9" t="str">
        <x:v>https://fred.stlouisfed.org/graph/fredgraph.csv?id=WALCL&amp;cosd=2006-01-01</x:v>
      </x:c>
    </x:row>
    <x:row r="20" ht="15" hidden="0" customHeight="1">
      <x:c r="A20" s="9" t="str">
        <x:v>fred_tga</x:v>
      </x:c>
      <x:c r="B20" s="9" t="str">
        <x:v>U.S. Treasury via FRED</x:v>
      </x:c>
      <x:c r="C20" s="9" t="str">
        <x:v>official_current_archive</x:v>
      </x:c>
      <x:c r="D20" s="9" t="str">
        <x:v>reconstructed_official_archive</x:v>
      </x:c>
      <x:c r="E20" s="9" t="str">
        <x:v>weekly</x:v>
      </x:c>
      <x:c r="F20" s="9" t="str">
        <x:v>private_object_only</x:v>
      </x:c>
      <x:c r="G20" s="9" t="str">
        <x:v>https://fred.stlouisfed.org/graph/fredgraph.csv?id=WTREGEN&amp;cosd=2006-01-01</x:v>
      </x:c>
    </x:row>
    <x:row r="21" ht="15" hidden="0" customHeight="1">
      <x:c r="A21" s="9" t="str">
        <x:v>nyfed_rrp</x:v>
      </x:c>
      <x:c r="B21" s="9" t="str">
        <x:v>Federal Reserve Bank of New York via FRED</x:v>
      </x:c>
      <x:c r="C21" s="9" t="str">
        <x:v>official_current_archive</x:v>
      </x:c>
      <x:c r="D21" s="9" t="str">
        <x:v>reconstructed_official_archive</x:v>
      </x:c>
      <x:c r="E21" s="9" t="str">
        <x:v>daily</x:v>
      </x:c>
      <x:c r="F21" s="9" t="str">
        <x:v>private_object_only</x:v>
      </x:c>
      <x:c r="G21" s="9" t="str">
        <x:v>https://fred.stlouisfed.org/graph/fredgraph.csv?id=RRPONTSYD&amp;cosd=2006-01-01</x:v>
      </x:c>
    </x:row>
    <x:row r="22" ht="15" hidden="0" customHeight="1">
      <x:c r="A22" s="9" t="str">
        <x:v>cftc_tff</x:v>
      </x:c>
      <x:c r="B22" s="9" t="str">
        <x:v>Commodity Futures Trading Commission</x:v>
      </x:c>
      <x:c r="C22" s="9" t="str">
        <x:v>official</x:v>
      </x:c>
      <x:c r="D22" s="9" t="str">
        <x:v>reconstructed_official_archive</x:v>
      </x:c>
      <x:c r="E22" s="9" t="str">
        <x:v>weekly</x:v>
      </x:c>
      <x:c r="F22" s="9" t="str">
        <x:v>repository_raw_allowed</x:v>
      </x:c>
      <x:c r="G22" s="9" t="str">
        <x:v>https://www.cftc.gov/files/dea/history/fut_fin_txt_2026.zip</x:v>
      </x:c>
    </x:row>
    <x:row r="23" ht="15" hidden="0" customHeight="1">
      <x:c r="A23" s="9" t="str">
        <x:v>finra_otc</x:v>
      </x:c>
      <x:c r="B23" s="9" t="str">
        <x:v>FINRA</x:v>
      </x:c>
      <x:c r="C23" s="9" t="str">
        <x:v>self_regulatory</x:v>
      </x:c>
      <x:c r="D23" s="9" t="str">
        <x:v>reconstructed_official_archive</x:v>
      </x:c>
      <x:c r="E23" s="9" t="str">
        <x:v>weekly</x:v>
      </x:c>
      <x:c r="F23" s="9" t="str">
        <x:v>private_object_only</x:v>
      </x:c>
      <x:c r="G23" s="9" t="str">
        <x:v>https://api.finra.org/data/group/otcmarket/name/weeklysummary</x:v>
      </x:c>
    </x:row>
    <x:row r="24" ht="15" hidden="0" customHeight="1">
      <x:c r="A24" s="9" t="str">
        <x:v>sec_companyfacts</x:v>
      </x:c>
      <x:c r="B24" s="9" t="str">
        <x:v>SEC EDGAR</x:v>
      </x:c>
      <x:c r="C24" s="9" t="str">
        <x:v>official</x:v>
      </x:c>
      <x:c r="D24" s="9" t="str">
        <x:v>reconstructed_official_archive</x:v>
      </x:c>
      <x:c r="E24" s="9" t="str">
        <x:v>daily</x:v>
      </x:c>
      <x:c r="F24" s="9" t="str">
        <x:v>repository_raw_allowed</x:v>
      </x:c>
      <x:c r="G24" s="9" t="str">
        <x:v>https://data.sec.gov/api/xbrl/companyfacts/CIK0000320193.json</x:v>
      </x:c>
    </x:row>
    <x:row r="25" ht="15" hidden="0" customHeight="1">
      <x:c r="A25" s="9" t="str">
        <x:v>fed_fama_french</x:v>
      </x:c>
      <x:c r="B25" s="9" t="str">
        <x:v>Kenneth French Data Library</x:v>
      </x:c>
      <x:c r="C25" s="9" t="str">
        <x:v>academic</x:v>
      </x:c>
      <x:c r="D25" s="9" t="str">
        <x:v>reconstructed_official_archive</x:v>
      </x:c>
      <x:c r="E25" s="9" t="str">
        <x:v>monthly</x:v>
      </x:c>
      <x:c r="F25" s="9" t="str">
        <x:v>private_object_only</x:v>
      </x:c>
      <x:c r="G25" s="9" t="str">
        <x:v>https://mba.tuck.dartmouth.edu/pages/faculty/ken.french/ftp/F-F_Research_Data_Factors_daily_CSV.zip</x:v>
      </x:c>
    </x:row>
    <x:row r="26" ht="15" hidden="0" customHeight="1">
      <x:c r="A26" s="9" t="str">
        <x:v>eia_crude_oil</x:v>
      </x:c>
      <x:c r="B26" s="9" t="str">
        <x:v>U.S. Energy Information Administration</x:v>
      </x:c>
      <x:c r="C26" s="9" t="str">
        <x:v>official</x:v>
      </x:c>
      <x:c r="D26" s="9" t="str">
        <x:v>reconstructed_official_archive</x:v>
      </x:c>
      <x:c r="E26" s="9" t="str">
        <x:v>daily</x:v>
      </x:c>
      <x:c r="F26" s="9" t="str">
        <x:v>repository_raw_allowed</x:v>
      </x:c>
      <x:c r="G26" s="9" t="str">
        <x:v>https://api.eia.gov/v2/petroleum/pri/spt/data/?api_key={EIA_API_KEY}&amp;frequency=daily&amp;data[0]=value&amp;facets[series][]=RWTC&amp;sort[0][column]=period&amp;sort[0][direction]=asc&amp;offset=0&amp;length=5000</x:v>
      </x:c>
    </x:row>
    <x:row r="27" ht="15" hidden="0" customHeight="1">
      <x:c r="A27" s="9" t="str">
        <x:v>philadelphia_spf</x:v>
      </x:c>
      <x:c r="B27" s="9" t="str">
        <x:v>Federal Reserve Bank of Philadelphia</x:v>
      </x:c>
      <x:c r="C27" s="9" t="str">
        <x:v>official_survey</x:v>
      </x:c>
      <x:c r="D27" s="9" t="str">
        <x:v>reconstructed_official_archive</x:v>
      </x:c>
      <x:c r="E27" s="9" t="str">
        <x:v>quarterly</x:v>
      </x:c>
      <x:c r="F27" s="9" t="str">
        <x:v>repository_raw_allowed</x:v>
      </x:c>
      <x:c r="G27" s="9" t="str">
        <x:v>https://www.philadelphiafed.org/-/media/FRBP/Assets/Surveys-And-Data/survey-of-professional-forecasters/historical-data/meanLevel.xlsx?sc_lang=en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.380000114440918" hidden="0" customWidth="1"/>
    <x:col min="3" max="3" width="9.380000114440918" hidden="0" customWidth="1"/>
    <x:col min="4" max="4" width="10.25" hidden="0" customWidth="1"/>
    <x:col min="5" max="5" width="13.5" hidden="0" customWidth="1"/>
    <x:col min="6" max="6" width="13.25" hidden="0" customWidth="1"/>
    <x:col min="7" max="7" width="14.880000114440918" hidden="0" customWidth="1"/>
    <x:col min="8" max="8" width="13.75" hidden="0" customWidth="1"/>
    <x:col min="9" max="9" width="23.3799991607666" hidden="0" customWidth="1"/>
    <x:col min="10" max="10" width="32.5" hidden="0" customWidth="1"/>
    <x:col min="11" max="11" width="32.5" hidden="0" customWidth="1"/>
    <x:col min="12" max="12" width="32.5" hidden="0" customWidth="1"/>
  </x:cols>
  <x:sheetData>
    <x:row r="1" ht="28" customHeight="1">
      <x:c r="A1" s="3" t="str">
        <x:v>NASDAQ V5 · Observations</x:v>
      </x:c>
      <x:c r="B1" s="3" t="str">
        <x:v>NASDAQ V5 · Observations</x:v>
      </x:c>
      <x:c r="C1" s="3" t="str">
        <x:v>NASDAQ V5 · Observations</x:v>
      </x:c>
      <x:c r="D1" s="3" t="str">
        <x:v>NASDAQ V5 · Observations</x:v>
      </x:c>
      <x:c r="E1" s="3" t="str">
        <x:v>NASDAQ V5 · Observations</x:v>
      </x:c>
      <x:c r="F1" s="3" t="str">
        <x:v>NASDAQ V5 · Observations</x:v>
      </x:c>
      <x:c r="G1" s="3" t="str">
        <x:v>NASDAQ V5 · Observations</x:v>
      </x:c>
      <x:c r="H1" s="3" t="str">
        <x:v>NASDAQ V5 · Observations</x:v>
      </x:c>
      <x:c r="I1" s="3" t="str">
        <x:v>NASDAQ V5 · Observations</x:v>
      </x:c>
      <x:c r="J1" s="3" t="str">
        <x:v>NASDAQ V5 · Observations</x:v>
      </x:c>
      <x:c r="K1" s="3" t="str">
        <x:v>NASDAQ V5 · Observations</x:v>
      </x:c>
      <x:c r="L1" s="3" t="str">
        <x:v>NASDAQ V5 · Observations</x:v>
      </x:c>
    </x:row>
    <x:row r="3" ht="15" hidden="0" customHeight="1">
      <x:c r="A3" s="7" t="str">
        <x:v>source_id</x:v>
      </x:c>
      <x:c r="B3" s="7" t="str">
        <x:v>canonical_rows</x:v>
      </x:c>
      <x:c r="C3" s="7" t="str">
        <x:v>active_keys</x:v>
      </x:c>
      <x:c r="D3" s="7" t="str">
        <x:v>series_count</x:v>
      </x:c>
      <x:c r="E3" s="7" t="str">
        <x:v>first_observation</x:v>
      </x:c>
      <x:c r="F3" s="7" t="str">
        <x:v>last_observation</x:v>
      </x:c>
      <x:c r="G3" s="7" t="str">
        <x:v>latest_available_at</x:v>
      </x:c>
      <x:c r="H3" s="7" t="str">
        <x:v>units</x:v>
      </x:c>
      <x:c r="I3" s="7" t="str">
        <x:v>data_grades</x:v>
      </x:c>
      <x:c r="J3" s="7" t="str">
        <x:v>parquet_sha256</x:v>
      </x:c>
      <x:c r="K3" s="7" t="str">
        <x:v>schema_hash</x:v>
      </x:c>
      <x:c r="L3" s="7" t="str">
        <x:v>private_uri</x:v>
      </x:c>
    </x:row>
    <x:row r="4" ht="15" hidden="0" customHeight="1">
      <x:c r="A4" s="9" t="str">
        <x:v>cboe_skew</x:v>
      </x:c>
      <x:c r="B4" s="9" t="n">
        <x:v>9211</x:v>
      </x:c>
      <x:c r="C4" s="9" t="n">
        <x:v>9211</x:v>
      </x:c>
      <x:c r="D4" s="9" t="n">
        <x:v>1</x:v>
      </x:c>
      <x:c r="E4" s="13" t="n">
        <x:v>32875.875</x:v>
      </x:c>
      <x:c r="F4" s="13" t="n">
        <x:v>46255.833333333336</x:v>
      </x:c>
      <x:c r="G4" s="13" t="n">
        <x:v>46255.916666666664</x:v>
      </x:c>
      <x:c r="H4" s="9" t="str">
        <x:v>index_level</x:v>
      </x:c>
      <x:c r="I4" s="9" t="str">
        <x:v>reconstructed_market_archive</x:v>
      </x:c>
      <x:c r="J4" s="9" t="str">
        <x:v>16ef869e2f5f87f5ef4fee935e9bbab48fdf95e931af92e92de7a731fd5601c2</x:v>
      </x:c>
      <x:c r="K4" s="9" t="str">
        <x:v>1c5421e941cee5eb771dc4634510f936734dcb0f756758dac646628d514a50e1</x:v>
      </x:c>
      <x:c r="L4" s="9" t="str">
        <x:v>private://observations/source_id=cboe_skew/observations.parquet</x:v>
      </x:c>
    </x:row>
    <x:row r="5" ht="15" hidden="0" customHeight="1">
      <x:c r="A5" s="9" t="str">
        <x:v>cboe_vix</x:v>
      </x:c>
      <x:c r="B5" s="9" t="n">
        <x:v>9256</x:v>
      </x:c>
      <x:c r="C5" s="9" t="n">
        <x:v>9256</x:v>
      </x:c>
      <x:c r="D5" s="9" t="n">
        <x:v>1</x:v>
      </x:c>
      <x:c r="E5" s="13" t="n">
        <x:v>32875.875</x:v>
      </x:c>
      <x:c r="F5" s="13" t="n">
        <x:v>46255.833333333336</x:v>
      </x:c>
      <x:c r="G5" s="13" t="n">
        <x:v>46255.916666666664</x:v>
      </x:c>
      <x:c r="H5" s="9" t="str">
        <x:v>index_level</x:v>
      </x:c>
      <x:c r="I5" s="9" t="str">
        <x:v>reconstructed_market_archive</x:v>
      </x:c>
      <x:c r="J5" s="9" t="str">
        <x:v>084acd3845aea3b3c24e529aa20d39e7c47cbc3247b6b149a83d68c4be1fc69f</x:v>
      </x:c>
      <x:c r="K5" s="9" t="str">
        <x:v>1c5421e941cee5eb771dc4634510f936734dcb0f756758dac646628d514a50e1</x:v>
      </x:c>
      <x:c r="L5" s="9" t="str">
        <x:v>private://observations/source_id=cboe_vix/observations.parquet</x:v>
      </x:c>
    </x:row>
    <x:row r="6" ht="15" hidden="0" customHeight="1">
      <x:c r="A6" s="9" t="str">
        <x:v>cboe_vix3m</x:v>
      </x:c>
      <x:c r="B6" s="9" t="n">
        <x:v>4257</x:v>
      </x:c>
      <x:c r="C6" s="9" t="n">
        <x:v>4257</x:v>
      </x:c>
      <x:c r="D6" s="9" t="n">
        <x:v>1</x:v>
      </x:c>
      <x:c r="E6" s="13" t="n">
        <x:v>40074.833333333336</x:v>
      </x:c>
      <x:c r="F6" s="13" t="n">
        <x:v>46255.833333333336</x:v>
      </x:c>
      <x:c r="G6" s="13" t="n">
        <x:v>46255.916666666664</x:v>
      </x:c>
      <x:c r="H6" s="9" t="str">
        <x:v>index_level</x:v>
      </x:c>
      <x:c r="I6" s="9" t="str">
        <x:v>reconstructed_market_archive</x:v>
      </x:c>
      <x:c r="J6" s="9" t="str">
        <x:v>3e10e45c6baabad4a33df92b8e01921ef57aad6864c728b40815ddab7b88329c</x:v>
      </x:c>
      <x:c r="K6" s="9" t="str">
        <x:v>1c5421e941cee5eb771dc4634510f936734dcb0f756758dac646628d514a50e1</x:v>
      </x:c>
      <x:c r="L6" s="9" t="str">
        <x:v>private://observations/source_id=cboe_vix3m/observations.parquet</x:v>
      </x:c>
    </x:row>
    <x:row r="7" ht="15" hidden="0" customHeight="1">
      <x:c r="A7" s="9" t="str">
        <x:v>cboe_vix9d</x:v>
      </x:c>
      <x:c r="B7" s="9" t="n">
        <x:v>3931</x:v>
      </x:c>
      <x:c r="C7" s="9" t="n">
        <x:v>3931</x:v>
      </x:c>
      <x:c r="D7" s="9" t="n">
        <x:v>1</x:v>
      </x:c>
      <x:c r="E7" s="13" t="n">
        <x:v>40547.875</x:v>
      </x:c>
      <x:c r="F7" s="13" t="n">
        <x:v>46255.833333333336</x:v>
      </x:c>
      <x:c r="G7" s="13" t="n">
        <x:v>46255.916666666664</x:v>
      </x:c>
      <x:c r="H7" s="9" t="str">
        <x:v>index_level</x:v>
      </x:c>
      <x:c r="I7" s="9" t="str">
        <x:v>reconstructed_market_archive</x:v>
      </x:c>
      <x:c r="J7" s="9" t="str">
        <x:v>5f80486234fa48aebc33a4f511edfd3a6211dce10dcd6a36fc986c8e03207060</x:v>
      </x:c>
      <x:c r="K7" s="9" t="str">
        <x:v>1c5421e941cee5eb771dc4634510f936734dcb0f756758dac646628d514a50e1</x:v>
      </x:c>
      <x:c r="L7" s="9" t="str">
        <x:v>private://observations/source_id=cboe_vix9d/observations.parquet</x:v>
      </x:c>
    </x:row>
    <x:row r="8" ht="15" hidden="0" customHeight="1">
      <x:c r="A8" s="9" t="str">
        <x:v>cboe_vvix</x:v>
      </x:c>
      <x:c r="B8" s="9" t="n">
        <x:v>5088</x:v>
      </x:c>
      <x:c r="C8" s="9" t="n">
        <x:v>5088</x:v>
      </x:c>
      <x:c r="D8" s="9" t="n">
        <x:v>1</x:v>
      </x:c>
      <x:c r="E8" s="13" t="n">
        <x:v>38782.875</x:v>
      </x:c>
      <x:c r="F8" s="13" t="n">
        <x:v>46255.833333333336</x:v>
      </x:c>
      <x:c r="G8" s="13" t="n">
        <x:v>46255.916666666664</x:v>
      </x:c>
      <x:c r="H8" s="9" t="str">
        <x:v>index_level</x:v>
      </x:c>
      <x:c r="I8" s="9" t="str">
        <x:v>reconstructed_market_archive</x:v>
      </x:c>
      <x:c r="J8" s="9" t="str">
        <x:v>502b6475ae15f557ee80753e4cc8683d2d6b6322c2989c7575c997f217ec0751</x:v>
      </x:c>
      <x:c r="K8" s="9" t="str">
        <x:v>1c5421e941cee5eb771dc4634510f936734dcb0f756758dac646628d514a50e1</x:v>
      </x:c>
      <x:c r="L8" s="9" t="str">
        <x:v>private://observations/source_id=cboe_vvix/observations.parquet</x:v>
      </x:c>
    </x:row>
    <x:row r="9" ht="15" hidden="0" customHeight="1">
      <x:c r="A9" s="9" t="str">
        <x:v>cftc_tff</x:v>
      </x:c>
      <x:c r="B9" s="9" t="n">
        <x:v>972650</x:v>
      </x:c>
      <x:c r="C9" s="9" t="n">
        <x:v>486325</x:v>
      </x:c>
      <x:c r="D9" s="9" t="n">
        <x:v>80</x:v>
      </x:c>
      <x:c r="E9" s="13" t="n">
        <x:v>40379.833333333336</x:v>
      </x:c>
      <x:c r="F9" s="13" t="n">
        <x:v>46252.833333333336</x:v>
      </x:c>
      <x:c r="G9" s="13" t="n">
        <x:v>46258.916666666664</x:v>
      </x:c>
      <x:c r="H9" s="9" t="str">
        <x:v>provider_native</x:v>
      </x:c>
      <x:c r="I9" s="9" t="str">
        <x:v>reconstructed_official_archive</x:v>
      </x:c>
      <x:c r="J9" s="9" t="str">
        <x:v>ae647f556c08cd4cfee82cc615106cbf8c7acbac7edd57b7d17254d9b83048d8</x:v>
      </x:c>
      <x:c r="K9" s="9" t="str">
        <x:v>bcc15e61b3eb664addaa495fe6470051554c01fac78ebd7c613e31e7c83a14f6</x:v>
      </x:c>
      <x:c r="L9" s="9" t="str">
        <x:v>private://observations/source_id=cftc_tff/observations.parquet</x:v>
      </x:c>
    </x:row>
    <x:row r="10" ht="15" hidden="0" customHeight="1">
      <x:c r="A10" s="9" t="str">
        <x:v>chicago_fed_nfci</x:v>
      </x:c>
      <x:c r="B10" s="9" t="n">
        <x:v>2902</x:v>
      </x:c>
      <x:c r="C10" s="9" t="n">
        <x:v>2902</x:v>
      </x:c>
      <x:c r="D10" s="9" t="n">
        <x:v>1</x:v>
      </x:c>
      <x:c r="E10" s="13" t="n">
        <x:v>25941.875</x:v>
      </x:c>
      <x:c r="F10" s="13" t="n">
        <x:v>46248.833333333336</x:v>
      </x:c>
      <x:c r="G10" s="13" t="n">
        <x:v>46248.916666666664</x:v>
      </x:c>
      <x:c r="H10" s="9" t="str">
        <x:v>index_level</x:v>
      </x:c>
      <x:c r="I10" s="9" t="str">
        <x:v>reconstructed_official_archive</x:v>
      </x:c>
      <x:c r="J10" s="9" t="str">
        <x:v>106e115c3c8cef1b356e686957b6ce8d30b23981fcb3005f528faff121f2e28e</x:v>
      </x:c>
      <x:c r="K10" s="9" t="str">
        <x:v>1c5421e941cee5eb771dc4634510f936734dcb0f756758dac646628d514a50e1</x:v>
      </x:c>
      <x:c r="L10" s="9" t="str">
        <x:v>private://observations/source_id=chicago_fed_nfci/observations.parquet</x:v>
      </x:c>
    </x:row>
    <x:row r="11" ht="15" hidden="0" customHeight="1">
      <x:c r="A11" s="9" t="str">
        <x:v>fed_ebp</x:v>
      </x:c>
      <x:c r="B11" s="9" t="n">
        <x:v>1929</x:v>
      </x:c>
      <x:c r="C11" s="9" t="n">
        <x:v>1929</x:v>
      </x:c>
      <x:c r="D11" s="9" t="n">
        <x:v>3</x:v>
      </x:c>
      <x:c r="E11" s="13" t="n">
        <x:v>26665.875</x:v>
      </x:c>
      <x:c r="F11" s="13" t="n">
        <x:v>46204.833333333336</x:v>
      </x:c>
      <x:c r="G11" s="13" t="n">
        <x:v>46204.916666666664</x:v>
      </x:c>
      <x:c r="H11" s="9" t="str">
        <x:v>provider_native</x:v>
      </x:c>
      <x:c r="I11" s="9" t="str">
        <x:v>reconstructed_official_archive</x:v>
      </x:c>
      <x:c r="J11" s="9" t="str">
        <x:v>1fa76909fce587bccab255ad2f020f1babfc64ebccd86fe67382ef2496680b8c</x:v>
      </x:c>
      <x:c r="K11" s="9" t="str">
        <x:v>1c5421e941cee5eb771dc4634510f936734dcb0f756758dac646628d514a50e1</x:v>
      </x:c>
      <x:c r="L11" s="9" t="str">
        <x:v>private://observations/source_id=fed_ebp/observations.parquet</x:v>
      </x:c>
    </x:row>
    <x:row r="12" ht="15" hidden="0" customHeight="1">
      <x:c r="A12" s="9" t="str">
        <x:v>fed_fama_french</x:v>
      </x:c>
      <x:c r="B12" s="9" t="n">
        <x:v>105096</x:v>
      </x:c>
      <x:c r="C12" s="9" t="n">
        <x:v>105096</x:v>
      </x:c>
      <x:c r="D12" s="9" t="n">
        <x:v>4</x:v>
      </x:c>
      <x:c r="E12" s="13" t="n">
        <x:v>9679.833333333334</x:v>
      </x:c>
      <x:c r="F12" s="13" t="n">
        <x:v>46203.833333333336</x:v>
      </x:c>
      <x:c r="G12" s="13" t="n">
        <x:v>46203.916666666664</x:v>
      </x:c>
      <x:c r="H12" s="9" t="str">
        <x:v>signed_fraction</x:v>
      </x:c>
      <x:c r="I12" s="9" t="str">
        <x:v>reconstructed_official_archive</x:v>
      </x:c>
      <x:c r="J12" s="9" t="str">
        <x:v>75ff0d033a09712f16ac34ca46c60bdb83bcabf8ae515034335a8ca58e3868ae</x:v>
      </x:c>
      <x:c r="K12" s="9" t="str">
        <x:v>1c5421e941cee5eb771dc4634510f936734dcb0f756758dac646628d514a50e1</x:v>
      </x:c>
      <x:c r="L12" s="9" t="str">
        <x:v>private://observations/source_id=fed_fama_french/observations.parquet</x:v>
      </x:c>
    </x:row>
    <x:row r="13" ht="15" hidden="0" customHeight="1">
      <x:c r="A13" s="9" t="str">
        <x:v>fed_h41_walcl</x:v>
      </x:c>
      <x:c r="B13" s="9" t="n">
        <x:v>1077</x:v>
      </x:c>
      <x:c r="C13" s="9" t="n">
        <x:v>1077</x:v>
      </x:c>
      <x:c r="D13" s="9" t="n">
        <x:v>1</x:v>
      </x:c>
      <x:c r="E13" s="13" t="n">
        <x:v>38721.875</x:v>
      </x:c>
      <x:c r="F13" s="13" t="n">
        <x:v>46253.833333333336</x:v>
      </x:c>
      <x:c r="G13" s="13" t="n">
        <x:v>46253.916666666664</x:v>
      </x:c>
      <x:c r="H13" s="9" t="str">
        <x:v>index_level</x:v>
      </x:c>
      <x:c r="I13" s="9" t="str">
        <x:v>reconstructed_official_archive</x:v>
      </x:c>
      <x:c r="J13" s="9" t="str">
        <x:v>85035cf15e99507aa3e167fd227408376b28df1efcbf0823bd84e2bb82a5723f</x:v>
      </x:c>
      <x:c r="K13" s="9" t="str">
        <x:v>1c5421e941cee5eb771dc4634510f936734dcb0f756758dac646628d514a50e1</x:v>
      </x:c>
      <x:c r="L13" s="9" t="str">
        <x:v>private://observations/source_id=fed_h41_walcl/observations.parquet</x:v>
      </x:c>
    </x:row>
    <x:row r="14" ht="15" hidden="0" customHeight="1">
      <x:c r="A14" s="9" t="str">
        <x:v>finra_otc</x:v>
      </x:c>
      <x:c r="B14" s="9" t="n">
        <x:v>6609</x:v>
      </x:c>
      <x:c r="C14" s="9" t="n">
        <x:v>774</x:v>
      </x:c>
      <x:c r="D14" s="9" t="n">
        <x:v>3</x:v>
      </x:c>
      <x:c r="E14" s="13" t="n">
        <x:v>44536.875</x:v>
      </x:c>
      <x:c r="F14" s="13" t="n">
        <x:v>46216.833333333336</x:v>
      </x:c>
      <x:c r="G14" s="13" t="n">
        <x:v>46251.916666666664</x:v>
      </x:c>
      <x:c r="H14" s="9" t="str">
        <x:v>provider_native</x:v>
      </x:c>
      <x:c r="I14" s="9" t="str">
        <x:v>reconstructed_official_archive</x:v>
      </x:c>
      <x:c r="J14" s="9" t="str">
        <x:v>51e0c5abc352c012d7cae6f2253068ff7dbc2b092366335ca251052bb00e04b5</x:v>
      </x:c>
      <x:c r="K14" s="9" t="str">
        <x:v>8a1b0ab93b2f4f11b9c62f2fde61b3ec753fe57e08c4fea3555e8f690b96c2ce</x:v>
      </x:c>
      <x:c r="L14" s="9" t="str">
        <x:v>private://observations/source_id=finra_otc/observations.parquet</x:v>
      </x:c>
    </x:row>
    <x:row r="15" ht="15" hidden="0" customHeight="1">
      <x:c r="A15" s="9" t="str">
        <x:v>fred_h10_dollar</x:v>
      </x:c>
      <x:c r="B15" s="9" t="n">
        <x:v>5169</x:v>
      </x:c>
      <x:c r="C15" s="9" t="n">
        <x:v>5169</x:v>
      </x:c>
      <x:c r="D15" s="9" t="n">
        <x:v>1</x:v>
      </x:c>
      <x:c r="E15" s="13" t="n">
        <x:v>38719.875</x:v>
      </x:c>
      <x:c r="F15" s="13" t="n">
        <x:v>46248.833333333336</x:v>
      </x:c>
      <x:c r="G15" s="13" t="n">
        <x:v>46248.916666666664</x:v>
      </x:c>
      <x:c r="H15" s="9" t="str">
        <x:v>index_level</x:v>
      </x:c>
      <x:c r="I15" s="9" t="str">
        <x:v>reconstructed_market_archive</x:v>
      </x:c>
      <x:c r="J15" s="9" t="str">
        <x:v>5b6176cd7de8bebc67920573b725875266dfe61127593f833337179090765f88</x:v>
      </x:c>
      <x:c r="K15" s="9" t="str">
        <x:v>1c5421e941cee5eb771dc4634510f936734dcb0f756758dac646628d514a50e1</x:v>
      </x:c>
      <x:c r="L15" s="9" t="str">
        <x:v>private://observations/source_id=fred_h10_dollar/observations.parquet</x:v>
      </x:c>
    </x:row>
    <x:row r="16" ht="15" hidden="0" customHeight="1">
      <x:c r="A16" s="9" t="str">
        <x:v>fred_nasdaqcom</x:v>
      </x:c>
      <x:c r="B16" s="9" t="n">
        <x:v>7963</x:v>
      </x:c>
      <x:c r="C16" s="9" t="n">
        <x:v>7963</x:v>
      </x:c>
      <x:c r="D16" s="9" t="n">
        <x:v>1</x:v>
      </x:c>
      <x:c r="E16" s="13" t="n">
        <x:v>34702.875</x:v>
      </x:c>
      <x:c r="F16" s="13" t="n">
        <x:v>46255.833333333336</x:v>
      </x:c>
      <x:c r="G16" s="13" t="n">
        <x:v>46255.916666666664</x:v>
      </x:c>
      <x:c r="H16" s="9" t="str">
        <x:v>index_level</x:v>
      </x:c>
      <x:c r="I16" s="9" t="str">
        <x:v>reconstructed_market_archive</x:v>
      </x:c>
      <x:c r="J16" s="9" t="str">
        <x:v>b766ae1d2e24bc130915d60c8239cffad51dd07e22c6737296fc8d2979cc6df7</x:v>
      </x:c>
      <x:c r="K16" s="9" t="str">
        <x:v>1c5421e941cee5eb771dc4634510f936734dcb0f756758dac646628d514a50e1</x:v>
      </x:c>
      <x:c r="L16" s="9" t="str">
        <x:v>private://observations/source_id=fred_nasdaqcom/observations.parquet</x:v>
      </x:c>
    </x:row>
    <x:row r="17" ht="15" hidden="0" customHeight="1">
      <x:c r="A17" s="9" t="str">
        <x:v>fred_tga</x:v>
      </x:c>
      <x:c r="B17" s="9" t="n">
        <x:v>1077</x:v>
      </x:c>
      <x:c r="C17" s="9" t="n">
        <x:v>1077</x:v>
      </x:c>
      <x:c r="D17" s="9" t="n">
        <x:v>1</x:v>
      </x:c>
      <x:c r="E17" s="13" t="n">
        <x:v>38721.875</x:v>
      </x:c>
      <x:c r="F17" s="13" t="n">
        <x:v>46253.833333333336</x:v>
      </x:c>
      <x:c r="G17" s="13" t="n">
        <x:v>46253.916666666664</x:v>
      </x:c>
      <x:c r="H17" s="9" t="str">
        <x:v>index_level</x:v>
      </x:c>
      <x:c r="I17" s="9" t="str">
        <x:v>reconstructed_official_archive</x:v>
      </x:c>
      <x:c r="J17" s="9" t="str">
        <x:v>f5246ccc8fd5fcce925a96bff860ae277e5eed2da6b71a297e98877406011e30</x:v>
      </x:c>
      <x:c r="K17" s="9" t="str">
        <x:v>1c5421e941cee5eb771dc4634510f936734dcb0f756758dac646628d514a50e1</x:v>
      </x:c>
      <x:c r="L17" s="9" t="str">
        <x:v>private://observations/source_id=fred_tga/observations.parquet</x:v>
      </x:c>
    </x:row>
    <x:row r="18" ht="15" hidden="0" customHeight="1">
      <x:c r="A18" s="9" t="str">
        <x:v>nyfed_cmdi</x:v>
      </x:c>
      <x:c r="B18" s="9" t="n">
        <x:v>27000</x:v>
      </x:c>
      <x:c r="C18" s="9" t="n">
        <x:v>13500</x:v>
      </x:c>
      <x:c r="D18" s="9" t="n">
        <x:v>12</x:v>
      </x:c>
      <x:c r="E18" s="13" t="n">
        <x:v>38359.875</x:v>
      </x:c>
      <x:c r="F18" s="13" t="n">
        <x:v>46227.833333333336</x:v>
      </x:c>
      <x:c r="G18" s="13" t="n">
        <x:v>46262.916666666664</x:v>
      </x:c>
      <x:c r="H18" s="9" t="str">
        <x:v>provider_native</x:v>
      </x:c>
      <x:c r="I18" s="9" t="str">
        <x:v>reconstructed_official_archive</x:v>
      </x:c>
      <x:c r="J18" s="9" t="str">
        <x:v>dfd6a31ffece5b7ba251fae1a7617c0a79d5d3d123474d3a511db21cf0e17bd3</x:v>
      </x:c>
      <x:c r="K18" s="9" t="str">
        <x:v>6f0284740c15981a5db351628ec15d999f2799d4f4544ba02d07cff6f2dd7ed3</x:v>
      </x:c>
      <x:c r="L18" s="9" t="str">
        <x:v>private://observations/source_id=nyfed_cmdi/observations.parquet</x:v>
      </x:c>
    </x:row>
    <x:row r="19" ht="15" hidden="0" customHeight="1">
      <x:c r="A19" s="9" t="str">
        <x:v>nyfed_reference_rates</x:v>
      </x:c>
      <x:c r="B19" s="9" t="n">
        <x:v>36</x:v>
      </x:c>
      <x:c r="C19" s="9" t="n">
        <x:v>36</x:v>
      </x:c>
      <x:c r="D19" s="9" t="n">
        <x:v>12</x:v>
      </x:c>
      <x:c r="E19" s="13" t="n">
        <x:v>46254.833333333336</x:v>
      </x:c>
      <x:c r="F19" s="13" t="n">
        <x:v>46255.833333333336</x:v>
      </x:c>
      <x:c r="G19" s="13" t="n">
        <x:v>46255.916666666664</x:v>
      </x:c>
      <x:c r="H19" s="9" t="str">
        <x:v>provider_native</x:v>
      </x:c>
      <x:c r="I19" s="9" t="str">
        <x:v>captured_forward</x:v>
      </x:c>
      <x:c r="J19" s="9" t="str">
        <x:v>4ffc43bfd0098a056517ae5c1de3ece2f15d9afe1e7caee4eafd44021bb30637</x:v>
      </x:c>
      <x:c r="K19" s="9" t="str">
        <x:v>2e5835a9e39214e39059c621b6ef25ec78921537730459ccb3347a3a64efd4d5</x:v>
      </x:c>
      <x:c r="L19" s="9" t="str">
        <x:v>private://observations/source_id=nyfed_reference_rates/observations.parquet</x:v>
      </x:c>
    </x:row>
    <x:row r="20" ht="15" hidden="0" customHeight="1">
      <x:c r="A20" s="9" t="str">
        <x:v>nyfed_rrp</x:v>
      </x:c>
      <x:c r="B20" s="9" t="n">
        <x:v>3298</x:v>
      </x:c>
      <x:c r="C20" s="9" t="n">
        <x:v>3298</x:v>
      </x:c>
      <x:c r="D20" s="9" t="n">
        <x:v>1</x:v>
      </x:c>
      <x:c r="E20" s="13" t="n">
        <x:v>39198.833333333336</x:v>
      </x:c>
      <x:c r="F20" s="13" t="n">
        <x:v>46255.833333333336</x:v>
      </x:c>
      <x:c r="G20" s="13" t="n">
        <x:v>46255.916666666664</x:v>
      </x:c>
      <x:c r="H20" s="9" t="str">
        <x:v>index_level</x:v>
      </x:c>
      <x:c r="I20" s="9" t="str">
        <x:v>reconstructed_official_archive</x:v>
      </x:c>
      <x:c r="J20" s="9" t="str">
        <x:v>39edc8b0f1ca7607380e4a91391cb3c631845dc15c50214648a508446f3d4119</x:v>
      </x:c>
      <x:c r="K20" s="9" t="str">
        <x:v>1c5421e941cee5eb771dc4634510f936734dcb0f756758dac646628d514a50e1</x:v>
      </x:c>
      <x:c r="L20" s="9" t="str">
        <x:v>private://observations/source_id=nyfed_rrp/observations.parquet</x:v>
      </x:c>
    </x:row>
    <x:row r="21" ht="15" hidden="0" customHeight="1">
      <x:c r="A21" s="9" t="str">
        <x:v>ofr_fsi</x:v>
      </x:c>
      <x:c r="B21" s="9" t="n">
        <x:v>60660</x:v>
      </x:c>
      <x:c r="C21" s="9" t="n">
        <x:v>60660</x:v>
      </x:c>
      <x:c r="D21" s="9" t="n">
        <x:v>9</x:v>
      </x:c>
      <x:c r="E21" s="13" t="n">
        <x:v>36528.875</x:v>
      </x:c>
      <x:c r="F21" s="13" t="n">
        <x:v>46253.833333333336</x:v>
      </x:c>
      <x:c r="G21" s="13" t="n">
        <x:v>46255.916666666664</x:v>
      </x:c>
      <x:c r="H21" s="9" t="str">
        <x:v>provider_native</x:v>
      </x:c>
      <x:c r="I21" s="9" t="str">
        <x:v>reconstructed_official_archive</x:v>
      </x:c>
      <x:c r="J21" s="9" t="str">
        <x:v>b59b3d84b9e16ae227d67a259bb362db9bcb9499764f1b325ad4e7a6718fcc0b</x:v>
      </x:c>
      <x:c r="K21" s="9" t="str">
        <x:v>1c5421e941cee5eb771dc4634510f936734dcb0f756758dac646628d514a50e1</x:v>
      </x:c>
      <x:c r="L21" s="9" t="str">
        <x:v>private://observations/source_id=ofr_fsi/observations.parquet</x:v>
      </x:c>
    </x:row>
    <x:row r="22" ht="15" hidden="0" customHeight="1">
      <x:c r="A22" s="9" t="str">
        <x:v>philadelphia_spf</x:v>
      </x:c>
      <x:c r="B22" s="9" t="n">
        <x:v>43662</x:v>
      </x:c>
      <x:c r="C22" s="9" t="n">
        <x:v>43662</x:v>
      </x:c>
      <x:c r="D22" s="9" t="n">
        <x:v>306</x:v>
      </x:c>
      <x:c r="E22" s="13" t="n">
        <x:v>25112.833333333332</x:v>
      </x:c>
      <x:c r="F22" s="13" t="n">
        <x:v>46204.833333333336</x:v>
      </x:c>
      <x:c r="G22" s="13" t="n">
        <x:v>46326.916666666664</x:v>
      </x:c>
      <x:c r="H22" s="9" t="str">
        <x:v>provider_native</x:v>
      </x:c>
      <x:c r="I22" s="9" t="str">
        <x:v>reconstructed_official_archive</x:v>
      </x:c>
      <x:c r="J22" s="9" t="str">
        <x:v>384eb109cbaa613a83c0ab6a113be8b5b9d5e56ec5242380e54e6d79700282dc</x:v>
      </x:c>
      <x:c r="K22" s="9" t="str">
        <x:v>fdf319e748401e68925652e43fdfea8c019f1e09fd15f528c469760a55b7cab3</x:v>
      </x:c>
      <x:c r="L22" s="9" t="str">
        <x:v>private://observations/source_id=philadelphia_spf/observations.parquet</x:v>
      </x:c>
    </x:row>
    <x:row r="23" ht="15" hidden="0" customHeight="1">
      <x:c r="A23" s="9" t="str">
        <x:v>treasury_dts</x:v>
      </x:c>
      <x:c r="B23" s="9" t="n">
        <x:v>105644</x:v>
      </x:c>
      <x:c r="C23" s="9" t="n">
        <x:v>105644</x:v>
      </x:c>
      <x:c r="D23" s="9" t="n">
        <x:v>11</x:v>
      </x:c>
      <x:c r="E23" s="13" t="n">
        <x:v>41934.833333333336</x:v>
      </x:c>
      <x:c r="F23" s="13" t="n">
        <x:v>46254.833333333336</x:v>
      </x:c>
      <x:c r="G23" s="13" t="n">
        <x:v>46254.916666666664</x:v>
      </x:c>
      <x:c r="H23" s="9" t="str">
        <x:v>provider_native</x:v>
      </x:c>
      <x:c r="I23" s="9" t="str">
        <x:v>reconstructed_official_archive</x:v>
      </x:c>
      <x:c r="J23" s="9" t="str">
        <x:v>34b54e210e5daf02a97e46de181903cc4fcb23294158847ad08a1aeba13d8cdb</x:v>
      </x:c>
      <x:c r="K23" s="9" t="str">
        <x:v>b35258302026d72cf2a4658f66d30d65812ffb7df5ba4fa5c3fe0201ebe6ac82</x:v>
      </x:c>
      <x:c r="L23" s="9" t="str">
        <x:v>private://observations/source_id=treasury_dts/observations.parquet</x:v>
      </x:c>
    </x:row>
    <x:row r="24" ht="15" hidden="0" customHeight="1">
      <x:c r="A24" s="9" t="str">
        <x:v>treasury_real_yield_curve</x:v>
      </x:c>
      <x:c r="B24" s="9" t="n">
        <x:v>28039</x:v>
      </x:c>
      <x:c r="C24" s="9" t="n">
        <x:v>28039</x:v>
      </x:c>
      <x:c r="D24" s="9" t="n">
        <x:v>6</x:v>
      </x:c>
      <x:c r="E24" s="13" t="n">
        <x:v>39084.875</x:v>
      </x:c>
      <x:c r="F24" s="13" t="n">
        <x:v>46255.833333333336</x:v>
      </x:c>
      <x:c r="G24" s="13" t="n">
        <x:v>46255.916666666664</x:v>
      </x:c>
      <x:c r="H24" s="9" t="str">
        <x:v>percentage_point</x:v>
      </x:c>
      <x:c r="I24" s="9" t="str">
        <x:v>reconstructed_official_archive</x:v>
      </x:c>
      <x:c r="J24" s="9" t="str">
        <x:v>543d2640798ac0877f0b12352190d7ca0a48520e1f4bc3ddbda6493d1a49ce9d</x:v>
      </x:c>
      <x:c r="K24" s="9" t="str">
        <x:v>1c5421e941cee5eb771dc4634510f936734dcb0f756758dac646628d514a50e1</x:v>
      </x:c>
      <x:c r="L24" s="9" t="str">
        <x:v>private://observations/source_id=treasury_real_yield_curve/observations.parquet</x:v>
      </x:c>
    </x:row>
    <x:row r="25" ht="15" hidden="0" customHeight="1">
      <x:c r="A25" s="9" t="str">
        <x:v>treasury_yield_curve</x:v>
      </x:c>
      <x:c r="B25" s="9" t="n">
        <x:v>62267</x:v>
      </x:c>
      <x:c r="C25" s="9" t="n">
        <x:v>62267</x:v>
      </x:c>
      <x:c r="D25" s="9" t="n">
        <x:v>15</x:v>
      </x:c>
      <x:c r="E25" s="13" t="n">
        <x:v>39084.875</x:v>
      </x:c>
      <x:c r="F25" s="13" t="n">
        <x:v>46255.833333333336</x:v>
      </x:c>
      <x:c r="G25" s="13" t="n">
        <x:v>46255.916666666664</x:v>
      </x:c>
      <x:c r="H25" s="9" t="str">
        <x:v>percentage_point</x:v>
      </x:c>
      <x:c r="I25" s="9" t="str">
        <x:v>reconstructed_official_archive</x:v>
      </x:c>
      <x:c r="J25" s="9" t="str">
        <x:v>e2de04b630693ddc78a6b124fa6954b398b69af46080b1d54b15ae7c900b8467</x:v>
      </x:c>
      <x:c r="K25" s="9" t="str">
        <x:v>1c5421e941cee5eb771dc4634510f936734dcb0f756758dac646628d514a50e1</x:v>
      </x:c>
      <x:c r="L25" s="9" t="str">
        <x:v>private://observations/source_id=treasury_yield_curve/observations.parquet</x:v>
      </x:c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.380000114440918" hidden="0" customWidth="1"/>
    <x:col min="3" max="3" width="9.380000114440918" hidden="0" customWidth="1"/>
    <x:col min="4" max="4" width="11.25" hidden="0" customWidth="1"/>
    <x:col min="5" max="5" width="13.75" hidden="0" customWidth="1"/>
    <x:col min="6" max="6" width="14.25" hidden="0" customWidth="1"/>
    <x:col min="7" max="7" width="32.5" hidden="0" customWidth="1"/>
  </x:cols>
  <x:sheetData>
    <x:row r="1" ht="28" customHeight="1">
      <x:c r="A1" s="3" t="str">
        <x:v>NASDAQ V5 · Vintages</x:v>
      </x:c>
      <x:c r="B1" s="3" t="str">
        <x:v>NASDAQ V5 · Vintages</x:v>
      </x:c>
      <x:c r="C1" s="3" t="str">
        <x:v>NASDAQ V5 · Vintages</x:v>
      </x:c>
      <x:c r="D1" s="3" t="str">
        <x:v>NASDAQ V5 · Vintages</x:v>
      </x:c>
      <x:c r="E1" s="3" t="str">
        <x:v>NASDAQ V5 · Vintages</x:v>
      </x:c>
      <x:c r="F1" s="3" t="str">
        <x:v>NASDAQ V5 · Vintages</x:v>
      </x:c>
      <x:c r="G1" s="3" t="str">
        <x:v>NASDAQ V5 · Vintages</x:v>
      </x:c>
    </x:row>
    <x:row r="3" ht="15" hidden="0" customHeight="1">
      <x:c r="A3" s="7" t="str">
        <x:v>source_id</x:v>
      </x:c>
      <x:c r="B3" s="7" t="str">
        <x:v>canonical_rows</x:v>
      </x:c>
      <x:c r="C3" s="7" t="str">
        <x:v>active_keys</x:v>
      </x:c>
      <x:c r="D3" s="7" t="str">
        <x:v>revision_rows</x:v>
      </x:c>
      <x:c r="E3" s="7" t="str">
        <x:v>supersedes_rows</x:v>
      </x:c>
      <x:c r="F3" s="7" t="str">
        <x:v>max_revision_seq</x:v>
      </x:c>
      <x:c r="G3" s="7" t="str">
        <x:v>parquet_sha256</x:v>
      </x:c>
    </x:row>
    <x:row r="4" ht="15" hidden="0" customHeight="1">
      <x:c r="A4" s="9" t="str">
        <x:v>cboe_skew</x:v>
      </x:c>
      <x:c r="B4" s="9" t="n">
        <x:v>9211</x:v>
      </x:c>
      <x:c r="C4" s="9" t="n">
        <x:v>9211</x:v>
      </x:c>
      <x:c r="D4" s="9" t="n">
        <x:v>0</x:v>
      </x:c>
      <x:c r="E4" s="9" t="n">
        <x:v>0</x:v>
      </x:c>
      <x:c r="F4" s="9" t="n">
        <x:v>1</x:v>
      </x:c>
      <x:c r="G4" s="9" t="str">
        <x:v>16ef869e2f5f87f5ef4fee935e9bbab48fdf95e931af92e92de7a731fd5601c2</x:v>
      </x:c>
    </x:row>
    <x:row r="5" ht="15" hidden="0" customHeight="1">
      <x:c r="A5" s="9" t="str">
        <x:v>cboe_vix</x:v>
      </x:c>
      <x:c r="B5" s="9" t="n">
        <x:v>9256</x:v>
      </x:c>
      <x:c r="C5" s="9" t="n">
        <x:v>9256</x:v>
      </x:c>
      <x:c r="D5" s="9" t="n">
        <x:v>0</x:v>
      </x:c>
      <x:c r="E5" s="9" t="n">
        <x:v>0</x:v>
      </x:c>
      <x:c r="F5" s="9" t="n">
        <x:v>1</x:v>
      </x:c>
      <x:c r="G5" s="9" t="str">
        <x:v>084acd3845aea3b3c24e529aa20d39e7c47cbc3247b6b149a83d68c4be1fc69f</x:v>
      </x:c>
    </x:row>
    <x:row r="6" ht="15" hidden="0" customHeight="1">
      <x:c r="A6" s="9" t="str">
        <x:v>cboe_vix3m</x:v>
      </x:c>
      <x:c r="B6" s="9" t="n">
        <x:v>4257</x:v>
      </x:c>
      <x:c r="C6" s="9" t="n">
        <x:v>4257</x:v>
      </x:c>
      <x:c r="D6" s="9" t="n">
        <x:v>0</x:v>
      </x:c>
      <x:c r="E6" s="9" t="n">
        <x:v>0</x:v>
      </x:c>
      <x:c r="F6" s="9" t="n">
        <x:v>1</x:v>
      </x:c>
      <x:c r="G6" s="9" t="str">
        <x:v>3e10e45c6baabad4a33df92b8e01921ef57aad6864c728b40815ddab7b88329c</x:v>
      </x:c>
    </x:row>
    <x:row r="7" ht="15" hidden="0" customHeight="1">
      <x:c r="A7" s="9" t="str">
        <x:v>cboe_vix9d</x:v>
      </x:c>
      <x:c r="B7" s="9" t="n">
        <x:v>3931</x:v>
      </x:c>
      <x:c r="C7" s="9" t="n">
        <x:v>3931</x:v>
      </x:c>
      <x:c r="D7" s="9" t="n">
        <x:v>0</x:v>
      </x:c>
      <x:c r="E7" s="9" t="n">
        <x:v>0</x:v>
      </x:c>
      <x:c r="F7" s="9" t="n">
        <x:v>1</x:v>
      </x:c>
      <x:c r="G7" s="9" t="str">
        <x:v>5f80486234fa48aebc33a4f511edfd3a6211dce10dcd6a36fc986c8e03207060</x:v>
      </x:c>
    </x:row>
    <x:row r="8" ht="15" hidden="0" customHeight="1">
      <x:c r="A8" s="9" t="str">
        <x:v>cboe_vvix</x:v>
      </x:c>
      <x:c r="B8" s="9" t="n">
        <x:v>5088</x:v>
      </x:c>
      <x:c r="C8" s="9" t="n">
        <x:v>5088</x:v>
      </x:c>
      <x:c r="D8" s="9" t="n">
        <x:v>0</x:v>
      </x:c>
      <x:c r="E8" s="9" t="n">
        <x:v>0</x:v>
      </x:c>
      <x:c r="F8" s="9" t="n">
        <x:v>1</x:v>
      </x:c>
      <x:c r="G8" s="9" t="str">
        <x:v>502b6475ae15f557ee80753e4cc8683d2d6b6322c2989c7575c997f217ec0751</x:v>
      </x:c>
    </x:row>
    <x:row r="9" ht="15" hidden="0" customHeight="1">
      <x:c r="A9" s="9" t="str">
        <x:v>cftc_tff</x:v>
      </x:c>
      <x:c r="B9" s="9" t="n">
        <x:v>972650</x:v>
      </x:c>
      <x:c r="C9" s="9" t="n">
        <x:v>486325</x:v>
      </x:c>
      <x:c r="D9" s="9" t="n">
        <x:v>486325</x:v>
      </x:c>
      <x:c r="E9" s="9" t="n">
        <x:v>486325</x:v>
      </x:c>
      <x:c r="F9" s="9" t="n">
        <x:v>2</x:v>
      </x:c>
      <x:c r="G9" s="9" t="str">
        <x:v>ae647f556c08cd4cfee82cc615106cbf8c7acbac7edd57b7d17254d9b83048d8</x:v>
      </x:c>
    </x:row>
    <x:row r="10" ht="15" hidden="0" customHeight="1">
      <x:c r="A10" s="9" t="str">
        <x:v>chicago_fed_nfci</x:v>
      </x:c>
      <x:c r="B10" s="9" t="n">
        <x:v>2902</x:v>
      </x:c>
      <x:c r="C10" s="9" t="n">
        <x:v>2902</x:v>
      </x:c>
      <x:c r="D10" s="9" t="n">
        <x:v>0</x:v>
      </x:c>
      <x:c r="E10" s="9" t="n">
        <x:v>0</x:v>
      </x:c>
      <x:c r="F10" s="9" t="n">
        <x:v>1</x:v>
      </x:c>
      <x:c r="G10" s="9" t="str">
        <x:v>106e115c3c8cef1b356e686957b6ce8d30b23981fcb3005f528faff121f2e28e</x:v>
      </x:c>
    </x:row>
    <x:row r="11" ht="15" hidden="0" customHeight="1">
      <x:c r="A11" s="9" t="str">
        <x:v>fed_ebp</x:v>
      </x:c>
      <x:c r="B11" s="9" t="n">
        <x:v>1929</x:v>
      </x:c>
      <x:c r="C11" s="9" t="n">
        <x:v>1929</x:v>
      </x:c>
      <x:c r="D11" s="9" t="n">
        <x:v>0</x:v>
      </x:c>
      <x:c r="E11" s="9" t="n">
        <x:v>0</x:v>
      </x:c>
      <x:c r="F11" s="9" t="n">
        <x:v>1</x:v>
      </x:c>
      <x:c r="G11" s="9" t="str">
        <x:v>1fa76909fce587bccab255ad2f020f1babfc64ebccd86fe67382ef2496680b8c</x:v>
      </x:c>
    </x:row>
    <x:row r="12" ht="15" hidden="0" customHeight="1">
      <x:c r="A12" s="9" t="str">
        <x:v>fed_fama_french</x:v>
      </x:c>
      <x:c r="B12" s="9" t="n">
        <x:v>105096</x:v>
      </x:c>
      <x:c r="C12" s="9" t="n">
        <x:v>105096</x:v>
      </x:c>
      <x:c r="D12" s="9" t="n">
        <x:v>0</x:v>
      </x:c>
      <x:c r="E12" s="9" t="n">
        <x:v>0</x:v>
      </x:c>
      <x:c r="F12" s="9" t="n">
        <x:v>1</x:v>
      </x:c>
      <x:c r="G12" s="9" t="str">
        <x:v>75ff0d033a09712f16ac34ca46c60bdb83bcabf8ae515034335a8ca58e3868ae</x:v>
      </x:c>
    </x:row>
    <x:row r="13" ht="15" hidden="0" customHeight="1">
      <x:c r="A13" s="9" t="str">
        <x:v>fed_h41_walcl</x:v>
      </x:c>
      <x:c r="B13" s="9" t="n">
        <x:v>1077</x:v>
      </x:c>
      <x:c r="C13" s="9" t="n">
        <x:v>1077</x:v>
      </x:c>
      <x:c r="D13" s="9" t="n">
        <x:v>0</x:v>
      </x:c>
      <x:c r="E13" s="9" t="n">
        <x:v>0</x:v>
      </x:c>
      <x:c r="F13" s="9" t="n">
        <x:v>1</x:v>
      </x:c>
      <x:c r="G13" s="9" t="str">
        <x:v>85035cf15e99507aa3e167fd227408376b28df1efcbf0823bd84e2bb82a5723f</x:v>
      </x:c>
    </x:row>
    <x:row r="14" ht="15" hidden="0" customHeight="1">
      <x:c r="A14" s="9" t="str">
        <x:v>finra_otc</x:v>
      </x:c>
      <x:c r="B14" s="9" t="n">
        <x:v>6609</x:v>
      </x:c>
      <x:c r="C14" s="9" t="n">
        <x:v>774</x:v>
      </x:c>
      <x:c r="D14" s="9" t="n">
        <x:v>5835</x:v>
      </x:c>
      <x:c r="E14" s="9" t="n">
        <x:v>5835</x:v>
      </x:c>
      <x:c r="F14" s="9" t="n">
        <x:v>9</x:v>
      </x:c>
      <x:c r="G14" s="9" t="str">
        <x:v>51e0c5abc352c012d7cae6f2253068ff7dbc2b092366335ca251052bb00e04b5</x:v>
      </x:c>
    </x:row>
    <x:row r="15" ht="15" hidden="0" customHeight="1">
      <x:c r="A15" s="9" t="str">
        <x:v>fred_h10_dollar</x:v>
      </x:c>
      <x:c r="B15" s="9" t="n">
        <x:v>5169</x:v>
      </x:c>
      <x:c r="C15" s="9" t="n">
        <x:v>5169</x:v>
      </x:c>
      <x:c r="D15" s="9" t="n">
        <x:v>0</x:v>
      </x:c>
      <x:c r="E15" s="9" t="n">
        <x:v>0</x:v>
      </x:c>
      <x:c r="F15" s="9" t="n">
        <x:v>1</x:v>
      </x:c>
      <x:c r="G15" s="9" t="str">
        <x:v>5b6176cd7de8bebc67920573b725875266dfe61127593f833337179090765f88</x:v>
      </x:c>
    </x:row>
    <x:row r="16" ht="15" hidden="0" customHeight="1">
      <x:c r="A16" s="9" t="str">
        <x:v>fred_nasdaqcom</x:v>
      </x:c>
      <x:c r="B16" s="9" t="n">
        <x:v>7963</x:v>
      </x:c>
      <x:c r="C16" s="9" t="n">
        <x:v>7963</x:v>
      </x:c>
      <x:c r="D16" s="9" t="n">
        <x:v>0</x:v>
      </x:c>
      <x:c r="E16" s="9" t="n">
        <x:v>0</x:v>
      </x:c>
      <x:c r="F16" s="9" t="n">
        <x:v>1</x:v>
      </x:c>
      <x:c r="G16" s="9" t="str">
        <x:v>b766ae1d2e24bc130915d60c8239cffad51dd07e22c6737296fc8d2979cc6df7</x:v>
      </x:c>
    </x:row>
    <x:row r="17" ht="15" hidden="0" customHeight="1">
      <x:c r="A17" s="9" t="str">
        <x:v>fred_tga</x:v>
      </x:c>
      <x:c r="B17" s="9" t="n">
        <x:v>1077</x:v>
      </x:c>
      <x:c r="C17" s="9" t="n">
        <x:v>1077</x:v>
      </x:c>
      <x:c r="D17" s="9" t="n">
        <x:v>0</x:v>
      </x:c>
      <x:c r="E17" s="9" t="n">
        <x:v>0</x:v>
      </x:c>
      <x:c r="F17" s="9" t="n">
        <x:v>1</x:v>
      </x:c>
      <x:c r="G17" s="9" t="str">
        <x:v>f5246ccc8fd5fcce925a96bff860ae277e5eed2da6b71a297e98877406011e30</x:v>
      </x:c>
    </x:row>
    <x:row r="18" ht="15" hidden="0" customHeight="1">
      <x:c r="A18" s="9" t="str">
        <x:v>nyfed_cmdi</x:v>
      </x:c>
      <x:c r="B18" s="9" t="n">
        <x:v>27000</x:v>
      </x:c>
      <x:c r="C18" s="9" t="n">
        <x:v>13500</x:v>
      </x:c>
      <x:c r="D18" s="9" t="n">
        <x:v>13500</x:v>
      </x:c>
      <x:c r="E18" s="9" t="n">
        <x:v>13500</x:v>
      </x:c>
      <x:c r="F18" s="9" t="n">
        <x:v>2</x:v>
      </x:c>
      <x:c r="G18" s="9" t="str">
        <x:v>dfd6a31ffece5b7ba251fae1a7617c0a79d5d3d123474d3a511db21cf0e17bd3</x:v>
      </x:c>
    </x:row>
    <x:row r="19" ht="15" hidden="0" customHeight="1">
      <x:c r="A19" s="9" t="str">
        <x:v>nyfed_reference_rates</x:v>
      </x:c>
      <x:c r="B19" s="9" t="n">
        <x:v>36</x:v>
      </x:c>
      <x:c r="C19" s="9" t="n">
        <x:v>36</x:v>
      </x:c>
      <x:c r="D19" s="9" t="n">
        <x:v>0</x:v>
      </x:c>
      <x:c r="E19" s="9" t="n">
        <x:v>0</x:v>
      </x:c>
      <x:c r="F19" s="9" t="n">
        <x:v>1</x:v>
      </x:c>
      <x:c r="G19" s="9" t="str">
        <x:v>4ffc43bfd0098a056517ae5c1de3ece2f15d9afe1e7caee4eafd44021bb30637</x:v>
      </x:c>
    </x:row>
    <x:row r="20" ht="15" hidden="0" customHeight="1">
      <x:c r="A20" s="9" t="str">
        <x:v>nyfed_rrp</x:v>
      </x:c>
      <x:c r="B20" s="9" t="n">
        <x:v>3298</x:v>
      </x:c>
      <x:c r="C20" s="9" t="n">
        <x:v>3298</x:v>
      </x:c>
      <x:c r="D20" s="9" t="n">
        <x:v>0</x:v>
      </x:c>
      <x:c r="E20" s="9" t="n">
        <x:v>0</x:v>
      </x:c>
      <x:c r="F20" s="9" t="n">
        <x:v>1</x:v>
      </x:c>
      <x:c r="G20" s="9" t="str">
        <x:v>39edc8b0f1ca7607380e4a91391cb3c631845dc15c50214648a508446f3d4119</x:v>
      </x:c>
    </x:row>
    <x:row r="21" ht="15" hidden="0" customHeight="1">
      <x:c r="A21" s="9" t="str">
        <x:v>ofr_fsi</x:v>
      </x:c>
      <x:c r="B21" s="9" t="n">
        <x:v>60660</x:v>
      </x:c>
      <x:c r="C21" s="9" t="n">
        <x:v>60660</x:v>
      </x:c>
      <x:c r="D21" s="9" t="n">
        <x:v>0</x:v>
      </x:c>
      <x:c r="E21" s="9" t="n">
        <x:v>0</x:v>
      </x:c>
      <x:c r="F21" s="9" t="n">
        <x:v>1</x:v>
      </x:c>
      <x:c r="G21" s="9" t="str">
        <x:v>b59b3d84b9e16ae227d67a259bb362db9bcb9499764f1b325ad4e7a6718fcc0b</x:v>
      </x:c>
    </x:row>
    <x:row r="22" ht="15" hidden="0" customHeight="1">
      <x:c r="A22" s="9" t="str">
        <x:v>philadelphia_spf</x:v>
      </x:c>
      <x:c r="B22" s="9" t="n">
        <x:v>43662</x:v>
      </x:c>
      <x:c r="C22" s="9" t="n">
        <x:v>43662</x:v>
      </x:c>
      <x:c r="D22" s="9" t="n">
        <x:v>0</x:v>
      </x:c>
      <x:c r="E22" s="9" t="n">
        <x:v>0</x:v>
      </x:c>
      <x:c r="F22" s="9" t="n">
        <x:v>1</x:v>
      </x:c>
      <x:c r="G22" s="9" t="str">
        <x:v>384eb109cbaa613a83c0ab6a113be8b5b9d5e56ec5242380e54e6d79700282dc</x:v>
      </x:c>
    </x:row>
    <x:row r="23" ht="15" hidden="0" customHeight="1">
      <x:c r="A23" s="9" t="str">
        <x:v>treasury_dts</x:v>
      </x:c>
      <x:c r="B23" s="9" t="n">
        <x:v>105644</x:v>
      </x:c>
      <x:c r="C23" s="9" t="n">
        <x:v>105644</x:v>
      </x:c>
      <x:c r="D23" s="9" t="n">
        <x:v>0</x:v>
      </x:c>
      <x:c r="E23" s="9" t="n">
        <x:v>0</x:v>
      </x:c>
      <x:c r="F23" s="9" t="n">
        <x:v>1</x:v>
      </x:c>
      <x:c r="G23" s="9" t="str">
        <x:v>34b54e210e5daf02a97e46de181903cc4fcb23294158847ad08a1aeba13d8cdb</x:v>
      </x:c>
    </x:row>
    <x:row r="24" ht="15" hidden="0" customHeight="1">
      <x:c r="A24" s="9" t="str">
        <x:v>treasury_real_yield_curve</x:v>
      </x:c>
      <x:c r="B24" s="9" t="n">
        <x:v>28039</x:v>
      </x:c>
      <x:c r="C24" s="9" t="n">
        <x:v>28039</x:v>
      </x:c>
      <x:c r="D24" s="9" t="n">
        <x:v>0</x:v>
      </x:c>
      <x:c r="E24" s="9" t="n">
        <x:v>0</x:v>
      </x:c>
      <x:c r="F24" s="9" t="n">
        <x:v>1</x:v>
      </x:c>
      <x:c r="G24" s="9" t="str">
        <x:v>543d2640798ac0877f0b12352190d7ca0a48520e1f4bc3ddbda6493d1a49ce9d</x:v>
      </x:c>
    </x:row>
    <x:row r="25" ht="15" hidden="0" customHeight="1">
      <x:c r="A25" s="9" t="str">
        <x:v>treasury_yield_curve</x:v>
      </x:c>
      <x:c r="B25" s="9" t="n">
        <x:v>62267</x:v>
      </x:c>
      <x:c r="C25" s="9" t="n">
        <x:v>62267</x:v>
      </x:c>
      <x:c r="D25" s="9" t="n">
        <x:v>0</x:v>
      </x:c>
      <x:c r="E25" s="9" t="n">
        <x:v>0</x:v>
      </x:c>
      <x:c r="F25" s="9" t="n">
        <x:v>1</x:v>
      </x:c>
      <x:c r="G25" s="9" t="str">
        <x:v>e2de04b630693ddc78a6b124fa6954b398b69af46080b1d54b15ae7c900b8467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20.5" hidden="0" customWidth="1"/>
    <x:col min="3" max="3" width="16.3799991607666" hidden="0" customWidth="1"/>
    <x:col min="4" max="4" width="10" hidden="0" customWidth="1"/>
    <x:col min="5" max="5" width="11.25" hidden="0" customWidth="1"/>
    <x:col min="6" max="6" width="10.880000114440918" hidden="0" customWidth="1"/>
    <x:col min="7" max="7" width="10.880000114440918" hidden="0" customWidth="1"/>
    <x:col min="8" max="8" width="10.880000114440918" hidden="0" customWidth="1"/>
    <x:col min="9" max="9" width="10.880000114440918" hidden="0" customWidth="1"/>
  </x:cols>
  <x:sheetData>
    <x:row r="1" ht="28" customHeight="1">
      <x:c r="A1" s="3" t="str">
        <x:v>NASDAQ V5 · Features</x:v>
      </x:c>
      <x:c r="B1" s="3" t="str">
        <x:v>NASDAQ V5 · Features</x:v>
      </x:c>
      <x:c r="C1" s="3" t="str">
        <x:v>NASDAQ V5 · Features</x:v>
      </x:c>
      <x:c r="D1" s="3" t="str">
        <x:v>NASDAQ V5 · Features</x:v>
      </x:c>
      <x:c r="E1" s="3" t="str">
        <x:v>NASDAQ V5 · Features</x:v>
      </x:c>
      <x:c r="F1" s="3" t="str">
        <x:v>NASDAQ V5 · Features</x:v>
      </x:c>
      <x:c r="G1" s="3" t="str">
        <x:v>NASDAQ V5 · Features</x:v>
      </x:c>
      <x:c r="H1" s="3" t="str">
        <x:v>NASDAQ V5 · Features</x:v>
      </x:c>
      <x:c r="I1" s="3" t="str">
        <x:v>NASDAQ V5 · Features</x:v>
      </x:c>
    </x:row>
    <x:row r="3" ht="15" hidden="0" customHeight="1">
      <x:c r="A3" s="7" t="str">
        <x:v>feature</x:v>
      </x:c>
      <x:c r="B3" s="7" t="str">
        <x:v>block</x:v>
      </x:c>
      <x:c r="C3" s="7" t="str">
        <x:v>nonmissing_sessions</x:v>
      </x:c>
      <x:c r="D3" s="7" t="str">
        <x:v>first_session</x:v>
      </x:c>
      <x:c r="E3" s="7" t="str">
        <x:v>latest_session</x:v>
      </x:c>
      <x:c r="F3" s="7" t="str">
        <x:v>latest_value</x:v>
      </x:c>
      <x:c r="G3" s="7" t="str">
        <x:v>median</x:v>
      </x:c>
      <x:c r="H3" s="7" t="str">
        <x:v>q25</x:v>
      </x:c>
      <x:c r="I3" s="7" t="str">
        <x:v>q75</x:v>
      </x:c>
    </x:row>
    <x:row r="4" ht="15" hidden="0" customHeight="1">
      <x:c r="A4" s="9" t="str">
        <x:v>trend_21</x:v>
      </x:c>
      <x:c r="B4" s="9" t="str">
        <x:v>base_or_missing_indicator</x:v>
      </x:c>
      <x:c r="C4" s="9" t="n">
        <x:v>7111</x:v>
      </x:c>
      <x:c r="D4" s="13" t="str">
        <x:v>1997-03-19</x:v>
      </x:c>
      <x:c r="E4" s="13" t="str">
        <x:v>2026-08-14</x:v>
      </x:c>
      <x:c r="F4" s="9" t="n">
        <x:v>0.03220928973919435</x:v>
      </x:c>
      <x:c r="G4" s="9" t="n">
        <x:v>0.016158455865282306</x:v>
      </x:c>
      <x:c r="H4" s="9" t="n">
        <x:v>-0.02529256189937179</x:v>
      </x:c>
      <x:c r="I4" s="9" t="n">
        <x:v>0.0458835349717841</x:v>
      </x:c>
    </x:row>
    <x:row r="5" ht="15" hidden="0" customHeight="1">
      <x:c r="A5" s="9" t="str">
        <x:v>trend_63</x:v>
      </x:c>
      <x:c r="B5" s="9" t="str">
        <x:v>base_or_missing_indicator</x:v>
      </x:c>
      <x:c r="C5" s="9" t="n">
        <x:v>7069</x:v>
      </x:c>
      <x:c r="D5" s="13" t="str">
        <x:v>1997-05-19</x:v>
      </x:c>
      <x:c r="E5" s="13" t="str">
        <x:v>2026-08-14</x:v>
      </x:c>
      <x:c r="F5" s="9" t="n">
        <x:v>0.003520704148908038</x:v>
      </x:c>
      <x:c r="G5" s="9" t="n">
        <x:v>0.03865361866964179</x:v>
      </x:c>
      <x:c r="H5" s="9" t="n">
        <x:v>-0.029980585702316986</x:v>
      </x:c>
      <x:c r="I5" s="9" t="n">
        <x:v>0.0871065344276829</x:v>
      </x:c>
    </x:row>
    <x:row r="6" ht="15" hidden="0" customHeight="1">
      <x:c r="A6" s="9" t="str">
        <x:v>trend_126</x:v>
      </x:c>
      <x:c r="B6" s="9" t="str">
        <x:v>base_or_missing_indicator</x:v>
      </x:c>
      <x:c r="C6" s="9" t="n">
        <x:v>7006</x:v>
      </x:c>
      <x:c r="D6" s="13" t="str">
        <x:v>1998-04-28</x:v>
      </x:c>
      <x:c r="E6" s="13" t="str">
        <x:v>2026-08-14</x:v>
      </x:c>
      <x:c r="F6" s="9" t="n">
        <x:v>0.1679313121607855</x:v>
      </x:c>
      <x:c r="G6" s="9" t="n">
        <x:v>0.07250896579808996</x:v>
      </x:c>
      <x:c r="H6" s="9" t="n">
        <x:v>-0.023757886219290203</x:v>
      </x:c>
      <x:c r="I6" s="9" t="n">
        <x:v>0.13221556325224482</x:v>
      </x:c>
    </x:row>
    <x:row r="7" ht="15" hidden="0" customHeight="1">
      <x:c r="A7" s="9" t="str">
        <x:v>drawdown_21</x:v>
      </x:c>
      <x:c r="B7" s="9" t="str">
        <x:v>base_or_missing_indicator</x:v>
      </x:c>
      <x:c r="C7" s="9" t="n">
        <x:v>7111</x:v>
      </x:c>
      <x:c r="D7" s="13" t="str">
        <x:v>1997-03-19</x:v>
      </x:c>
      <x:c r="E7" s="13" t="str">
        <x:v>2026-08-14</x:v>
      </x:c>
      <x:c r="F7" s="9" t="n">
        <x:v>-0.0027560316874631896</x:v>
      </x:c>
      <x:c r="G7" s="9" t="n">
        <x:v>-0.016032734940906512</x:v>
      </x:c>
      <x:c r="H7" s="9" t="n">
        <x:v>-0.0459882289464541</x:v>
      </x:c>
      <x:c r="I7" s="9" t="n">
        <x:v>-0.0018815201562319417</x:v>
      </x:c>
    </x:row>
    <x:row r="8" ht="15" hidden="0" customHeight="1">
      <x:c r="A8" s="9" t="str">
        <x:v>drawdown_63</x:v>
      </x:c>
      <x:c r="B8" s="9" t="str">
        <x:v>base_or_missing_indicator</x:v>
      </x:c>
      <x:c r="C8" s="9" t="n">
        <x:v>7069</x:v>
      </x:c>
      <x:c r="D8" s="13" t="str">
        <x:v>1997-05-19</x:v>
      </x:c>
      <x:c r="E8" s="13" t="str">
        <x:v>2026-08-14</x:v>
      </x:c>
      <x:c r="F8" s="9" t="n">
        <x:v>-0.01346207079822459</x:v>
      </x:c>
      <x:c r="G8" s="9" t="n">
        <x:v>-0.028470962311792802</x:v>
      </x:c>
      <x:c r="H8" s="9" t="n">
        <x:v>-0.07726254094121698</x:v>
      </x:c>
      <x:c r="I8" s="9" t="n">
        <x:v>-0.005518493436883709</x:v>
      </x:c>
    </x:row>
    <x:row r="9" ht="15" hidden="0" customHeight="1">
      <x:c r="A9" s="9" t="str">
        <x:v>drawdown_252</x:v>
      </x:c>
      <x:c r="B9" s="9" t="str">
        <x:v>base_or_missing_indicator</x:v>
      </x:c>
      <x:c r="C9" s="9" t="n">
        <x:v>6880</x:v>
      </x:c>
      <x:c r="D9" s="13" t="str">
        <x:v>1998-10-27</x:v>
      </x:c>
      <x:c r="E9" s="13" t="str">
        <x:v>2026-08-14</x:v>
      </x:c>
      <x:c r="F9" s="9" t="n">
        <x:v>-0.01346207079822459</x:v>
      </x:c>
      <x:c r="G9" s="9" t="n">
        <x:v>-0.04307626615108817</x:v>
      </x:c>
      <x:c r="H9" s="9" t="n">
        <x:v>-0.12370972950631948</x:v>
      </x:c>
      <x:c r="I9" s="9" t="n">
        <x:v>-0.010324561094018164</x:v>
      </x:c>
    </x:row>
    <x:row r="10" ht="15" hidden="0" customHeight="1">
      <x:c r="A10" s="9" t="str">
        <x:v>realized_vol_5</x:v>
      </x:c>
      <x:c r="B10" s="9" t="str">
        <x:v>base_or_missing_indicator</x:v>
      </x:c>
      <x:c r="C10" s="9" t="n">
        <x:v>7127</x:v>
      </x:c>
      <x:c r="D10" s="13" t="str">
        <x:v>1997-02-25</x:v>
      </x:c>
      <x:c r="E10" s="13" t="str">
        <x:v>2026-08-14</x:v>
      </x:c>
      <x:c r="F10" s="9" t="n">
        <x:v>0.09638616692258659</x:v>
      </x:c>
      <x:c r="G10" s="9" t="n">
        <x:v>0.17140298112506122</x:v>
      </x:c>
      <x:c r="H10" s="9" t="n">
        <x:v>0.1098203607110204</x:v>
      </x:c>
      <x:c r="I10" s="9" t="n">
        <x:v>0.2617731773035973</x:v>
      </x:c>
    </x:row>
    <x:row r="11" ht="15" hidden="0" customHeight="1">
      <x:c r="A11" s="9" t="str">
        <x:v>realized_vol_21</x:v>
      </x:c>
      <x:c r="B11" s="9" t="str">
        <x:v>base_or_missing_indicator</x:v>
      </x:c>
      <x:c r="C11" s="9" t="n">
        <x:v>7111</x:v>
      </x:c>
      <x:c r="D11" s="13" t="str">
        <x:v>1997-03-19</x:v>
      </x:c>
      <x:c r="E11" s="13" t="str">
        <x:v>2026-08-14</x:v>
      </x:c>
      <x:c r="F11" s="9" t="n">
        <x:v>0.21034525292844483</x:v>
      </x:c>
      <x:c r="G11" s="9" t="n">
        <x:v>0.1841516788882893</x:v>
      </x:c>
      <x:c r="H11" s="9" t="n">
        <x:v>0.13042537030772766</x:v>
      </x:c>
      <x:c r="I11" s="9" t="n">
        <x:v>0.26499941473543087</x:v>
      </x:c>
    </x:row>
    <x:row r="12" ht="15" hidden="0" customHeight="1">
      <x:c r="A12" s="9" t="str">
        <x:v>realized_vol_63</x:v>
      </x:c>
      <x:c r="B12" s="9" t="str">
        <x:v>base_or_missing_indicator</x:v>
      </x:c>
      <x:c r="C12" s="9" t="n">
        <x:v>7069</x:v>
      </x:c>
      <x:c r="D12" s="13" t="str">
        <x:v>1997-05-19</x:v>
      </x:c>
      <x:c r="E12" s="13" t="str">
        <x:v>2026-08-14</x:v>
      </x:c>
      <x:c r="F12" s="9" t="n">
        <x:v>0.2170215555708395</x:v>
      </x:c>
      <x:c r="G12" s="9" t="n">
        <x:v>0.18781949096566375</x:v>
      </x:c>
      <x:c r="H12" s="9" t="n">
        <x:v>0.14201375426006915</x:v>
      </x:c>
      <x:c r="I12" s="9" t="n">
        <x:v>0.2723605366038134</x:v>
      </x:c>
    </x:row>
    <x:row r="13" ht="15" hidden="0" customHeight="1">
      <x:c r="A13" s="9" t="str">
        <x:v>downside_semivariance_21</x:v>
      </x:c>
      <x:c r="B13" s="9" t="str">
        <x:v>base_or_missing_indicator</x:v>
      </x:c>
      <x:c r="C13" s="9" t="n">
        <x:v>7111</x:v>
      </x:c>
      <x:c r="D13" s="13" t="str">
        <x:v>1997-03-19</x:v>
      </x:c>
      <x:c r="E13" s="13" t="str">
        <x:v>2026-08-14</x:v>
      </x:c>
      <x:c r="F13" s="9" t="n">
        <x:v>0.00005659074148939057</x:v>
      </x:c>
      <x:c r="G13" s="9" t="n">
        <x:v>0.00006443043472432815</x:v>
      </x:c>
      <x:c r="H13" s="9" t="n">
        <x:v>0.000025783179751121008</x:v>
      </x:c>
      <x:c r="I13" s="9" t="n">
        <x:v>0.00014395418961939686</x:v>
      </x:c>
    </x:row>
    <x:row r="14" ht="15" hidden="0" customHeight="1">
      <x:c r="A14" s="9" t="str">
        <x:v>vix_level</x:v>
      </x:c>
      <x:c r="B14" s="9" t="str">
        <x:v>base_or_missing_indicator</x:v>
      </x:c>
      <x:c r="C14" s="9" t="n">
        <x:v>7131</x:v>
      </x:c>
      <x:c r="D14" s="13" t="str">
        <x:v>1997-02-19</x:v>
      </x:c>
      <x:c r="E14" s="13" t="str">
        <x:v>2026-08-14</x:v>
      </x:c>
      <x:c r="F14" s="9" t="n">
        <x:v>2.6567569067146595</x:v>
      </x:c>
      <x:c r="G14" s="9" t="n">
        <x:v>2.9156062290747062</x:v>
      </x:c>
      <x:c r="H14" s="9" t="n">
        <x:v>2.66374994220563</x:v>
      </x:c>
      <x:c r="I14" s="9" t="n">
        <x:v>3.1637858585502405</x:v>
      </x:c>
    </x:row>
    <x:row r="15" ht="15" hidden="0" customHeight="1">
      <x:c r="A15" s="9" t="str">
        <x:v>vix_change</x:v>
      </x:c>
      <x:c r="B15" s="9" t="str">
        <x:v>base_or_missing_indicator</x:v>
      </x:c>
      <x:c r="C15" s="9" t="n">
        <x:v>7131</x:v>
      </x:c>
      <x:c r="D15" s="13" t="str">
        <x:v>1997-02-19</x:v>
      </x:c>
      <x:c r="E15" s="13" t="str">
        <x:v>2026-08-14</x:v>
      </x:c>
      <x:c r="F15" s="9" t="n">
        <x:v>-0.026317308317373556</x:v>
      </x:c>
      <x:c r="G15" s="9" t="n">
        <x:v>-0.005243850506011061</x:v>
      </x:c>
      <x:c r="H15" s="9" t="n">
        <x:v>-0.03975851262862662</x:v>
      </x:c>
      <x:c r="I15" s="9" t="n">
        <x:v>0.03367963317898748</x:v>
      </x:c>
    </x:row>
    <x:row r="16" ht="15" hidden="0" customHeight="1">
      <x:c r="A16" s="9" t="str">
        <x:v>vol_of_vol_21</x:v>
      </x:c>
      <x:c r="B16" s="9" t="str">
        <x:v>base_or_missing_indicator</x:v>
      </x:c>
      <x:c r="C16" s="9" t="n">
        <x:v>7111</x:v>
      </x:c>
      <x:c r="D16" s="13" t="str">
        <x:v>1997-03-19</x:v>
      </x:c>
      <x:c r="E16" s="13" t="str">
        <x:v>2026-08-14</x:v>
      </x:c>
      <x:c r="F16" s="9" t="n">
        <x:v>0.07124529145210254</x:v>
      </x:c>
      <x:c r="G16" s="9" t="n">
        <x:v>0.059972663928098024</x:v>
      </x:c>
      <x:c r="H16" s="9" t="n">
        <x:v>0.04740911905815178</x:v>
      </x:c>
      <x:c r="I16" s="9" t="n">
        <x:v>0.07735379628766488</x:v>
      </x:c>
    </x:row>
    <x:row r="17" ht="15" hidden="0" customHeight="1">
      <x:c r="A17" s="9" t="str">
        <x:v>dgs2_change_bps</x:v>
      </x:c>
      <x:c r="B17" s="9" t="str">
        <x:v>base_or_missing_indicator</x:v>
      </x:c>
      <x:c r="C17" s="9" t="n">
        <x:v>7131</x:v>
      </x:c>
      <x:c r="D17" s="13" t="str">
        <x:v>1997-02-19</x:v>
      </x:c>
      <x:c r="E17" s="13" t="str">
        <x:v>2026-08-14</x:v>
      </x:c>
      <x:c r="F17" s="9" t="n">
        <x:v>0.019999999999999574</x:v>
      </x:c>
      <x:c r="G17" s="9" t="n">
        <x:v>0</x:v>
      </x:c>
      <x:c r="H17" s="9" t="n">
        <x:v>-0.020000000000000462</x:v>
      </x:c>
      <x:c r="I17" s="9" t="n">
        <x:v>0.020000000000000462</x:v>
      </x:c>
    </x:row>
    <x:row r="18" ht="15" hidden="0" customHeight="1">
      <x:c r="A18" s="9" t="str">
        <x:v>curve_change_bps</x:v>
      </x:c>
      <x:c r="B18" s="9" t="str">
        <x:v>base_or_missing_indicator</x:v>
      </x:c>
      <x:c r="C18" s="9" t="n">
        <x:v>7131</x:v>
      </x:c>
      <x:c r="D18" s="13" t="str">
        <x:v>1997-02-19</x:v>
      </x:c>
      <x:c r="E18" s="13" t="str">
        <x:v>2026-08-14</x:v>
      </x:c>
      <x:c r="F18" s="9" t="n">
        <x:v>0.03000000000000025</x:v>
      </x:c>
      <x:c r="G18" s="9" t="n">
        <x:v>0</x:v>
      </x:c>
      <x:c r="H18" s="9" t="n">
        <x:v>-0.020000000000000018</x:v>
      </x:c>
      <x:c r="I18" s="9" t="n">
        <x:v>0.020000000000000018</x:v>
      </x:c>
    </x:row>
    <x:row r="19" ht="15" hidden="0" customHeight="1">
      <x:c r="A19" s="9" t="str">
        <x:v>dollar_change</x:v>
      </x:c>
      <x:c r="B19" s="9" t="str">
        <x:v>base_or_missing_indicator</x:v>
      </x:c>
      <x:c r="C19" s="9" t="n">
        <x:v>7131</x:v>
      </x:c>
      <x:c r="D19" s="13" t="str">
        <x:v>1997-02-19</x:v>
      </x:c>
      <x:c r="E19" s="13" t="str">
        <x:v>2026-08-14</x:v>
      </x:c>
      <x:c r="F19" s="9" t="n">
        <x:v>-0.0023688771013024024</x:v>
      </x:c>
      <x:c r="G19" s="9" t="n">
        <x:v>-0.000009715319071013084</x:v>
      </x:c>
      <x:c r="H19" s="9" t="n">
        <x:v>-0.0017294134150933616</x:v>
      </x:c>
      <x:c r="I19" s="9" t="n">
        <x:v>0.0017526422626499283</x:v>
      </x:c>
    </x:row>
    <x:row r="20" ht="15" hidden="0" customHeight="1">
      <x:c r="A20" s="9" t="str">
        <x:v>core_growth_factor</x:v>
      </x:c>
      <x:c r="B20" s="9" t="str">
        <x:v>core_public</x:v>
      </x:c>
      <x:c r="C20" s="9" t="n">
        <x:v>7131</x:v>
      </x:c>
      <x:c r="D20" s="13" t="str">
        <x:v>1997-02-19</x:v>
      </x:c>
      <x:c r="E20" s="13" t="str">
        <x:v>2026-08-14</x:v>
      </x:c>
      <x:c r="F20" s="9" t="n">
        <x:v>0.8245863007469506</x:v>
      </x:c>
      <x:c r="G20" s="9" t="n">
        <x:v>0.4884412012049159</x:v>
      </x:c>
      <x:c r="H20" s="9" t="n">
        <x:v>-0.031047687245767404</x:v>
      </x:c>
      <x:c r="I20" s="9" t="n">
        <x:v>0.7637031272621212</x:v>
      </x:c>
    </x:row>
    <x:row r="21" ht="15" hidden="0" customHeight="1">
      <x:c r="A21" s="9" t="str">
        <x:v>core_inflation_factor</x:v>
      </x:c>
      <x:c r="B21" s="9" t="str">
        <x:v>core_public</x:v>
      </x:c>
      <x:c r="C21" s="9" t="n">
        <x:v>7131</x:v>
      </x:c>
      <x:c r="D21" s="13" t="str">
        <x:v>1997-02-19</x:v>
      </x:c>
      <x:c r="E21" s="13" t="str">
        <x:v>2026-08-14</x:v>
      </x:c>
      <x:c r="F21" s="9" t="n">
        <x:v>1.07346189504063</x:v>
      </x:c>
      <x:c r="G21" s="9" t="n">
        <x:v>5.6442254373649074</x:v>
      </x:c>
      <x:c r="H21" s="9" t="n">
        <x:v>-0.25837932400939667</x:v>
      </x:c>
      <x:c r="I21" s="9" t="n">
        <x:v>9.98221514075156</x:v>
      </x:c>
    </x:row>
    <x:row r="22" ht="15" hidden="0" customHeight="1">
      <x:c r="A22" s="9" t="str">
        <x:v>core_dfm_age_sessions</x:v>
      </x:c>
      <x:c r="B22" s="9" t="str">
        <x:v>core_public</x:v>
      </x:c>
      <x:c r="C22" s="9" t="n">
        <x:v>7131</x:v>
      </x:c>
      <x:c r="D22" s="13" t="str">
        <x:v>1997-02-19</x:v>
      </x:c>
      <x:c r="E22" s="13" t="str">
        <x:v>2026-08-14</x:v>
      </x:c>
      <x:c r="F22" s="9" t="n">
        <x:v>0</x:v>
      </x:c>
      <x:c r="G22" s="9" t="n">
        <x:v>3</x:v>
      </x:c>
      <x:c r="H22" s="9" t="n">
        <x:v>0</x:v>
      </x:c>
      <x:c r="I22" s="9" t="n">
        <x:v>6</x:v>
      </x:c>
    </x:row>
    <x:row r="23" ht="15" hidden="0" customHeight="1">
      <x:c r="A23" s="9" t="str">
        <x:v>core_dfm_available</x:v>
      </x:c>
      <x:c r="B23" s="9" t="str">
        <x:v>core_public</x:v>
      </x:c>
      <x:c r="C23" s="9" t="n">
        <x:v>7131</x:v>
      </x:c>
      <x:c r="D23" s="13" t="str">
        <x:v>1997-02-19</x:v>
      </x:c>
      <x:c r="E23" s="13" t="str">
        <x:v>2026-08-14</x:v>
      </x:c>
      <x:c r="F23" s="9" t="n">
        <x:v>1</x:v>
      </x:c>
      <x:c r="G23" s="9" t="n">
        <x:v>1</x:v>
      </x:c>
      <x:c r="H23" s="9" t="n">
        <x:v>1</x:v>
      </x:c>
      <x:c r="I23" s="9" t="n">
        <x:v>1</x:v>
      </x:c>
    </x:row>
    <x:row r="24" ht="15" hidden="0" customHeight="1">
      <x:c r="A24" s="9" t="str">
        <x:v>momentum_5d</x:v>
      </x:c>
      <x:c r="B24" s="9" t="str">
        <x:v>base_or_missing_indicator</x:v>
      </x:c>
      <x:c r="C24" s="9" t="n">
        <x:v>7127</x:v>
      </x:c>
      <x:c r="D24" s="13" t="str">
        <x:v>1997-02-25</x:v>
      </x:c>
      <x:c r="E24" s="13" t="str">
        <x:v>2026-08-14</x:v>
      </x:c>
      <x:c r="F24" s="9" t="n">
        <x:v>0.0014429114716172364</x:v>
      </x:c>
      <x:c r="G24" s="9" t="n">
        <x:v>0.004675028665674041</x:v>
      </x:c>
      <x:c r="H24" s="9" t="n">
        <x:v>-0.014415896461497546</x:v>
      </x:c>
      <x:c r="I24" s="9" t="n">
        <x:v>0.0203680880641679</x:v>
      </x:c>
    </x:row>
    <x:row r="25" ht="15" hidden="0" customHeight="1">
      <x:c r="A25" s="9" t="str">
        <x:v>momentum_21d</x:v>
      </x:c>
      <x:c r="B25" s="9" t="str">
        <x:v>base_or_missing_indicator</x:v>
      </x:c>
      <x:c r="C25" s="9" t="n">
        <x:v>7111</x:v>
      </x:c>
      <x:c r="D25" s="13" t="str">
        <x:v>1997-03-19</x:v>
      </x:c>
      <x:c r="E25" s="13" t="str">
        <x:v>2026-08-14</x:v>
      </x:c>
      <x:c r="F25" s="9" t="n">
        <x:v>0.03220928973919435</x:v>
      </x:c>
      <x:c r="G25" s="9" t="n">
        <x:v>0.016158455865282306</x:v>
      </x:c>
      <x:c r="H25" s="9" t="n">
        <x:v>-0.02529256189937179</x:v>
      </x:c>
      <x:c r="I25" s="9" t="n">
        <x:v>0.0458835349717841</x:v>
      </x:c>
    </x:row>
    <x:row r="26" ht="15" hidden="0" customHeight="1">
      <x:c r="A26" s="9" t="str">
        <x:v>momentum_63d</x:v>
      </x:c>
      <x:c r="B26" s="9" t="str">
        <x:v>base_or_missing_indicator</x:v>
      </x:c>
      <x:c r="C26" s="9" t="n">
        <x:v>7069</x:v>
      </x:c>
      <x:c r="D26" s="13" t="str">
        <x:v>1997-05-19</x:v>
      </x:c>
      <x:c r="E26" s="13" t="str">
        <x:v>2026-08-14</x:v>
      </x:c>
      <x:c r="F26" s="9" t="n">
        <x:v>0.003520704148908038</x:v>
      </x:c>
      <x:c r="G26" s="9" t="n">
        <x:v>0.03865361866964179</x:v>
      </x:c>
      <x:c r="H26" s="9" t="n">
        <x:v>-0.029980585702316986</x:v>
      </x:c>
      <x:c r="I26" s="9" t="n">
        <x:v>0.0871065344276829</x:v>
      </x:c>
    </x:row>
    <x:row r="27" ht="15" hidden="0" customHeight="1">
      <x:c r="A27" s="9" t="str">
        <x:v>realized_volatility_21d</x:v>
      </x:c>
      <x:c r="B27" s="9" t="str">
        <x:v>base_or_missing_indicator</x:v>
      </x:c>
      <x:c r="C27" s="9" t="n">
        <x:v>7111</x:v>
      </x:c>
      <x:c r="D27" s="13" t="str">
        <x:v>1997-03-19</x:v>
      </x:c>
      <x:c r="E27" s="13" t="str">
        <x:v>2026-08-14</x:v>
      </x:c>
      <x:c r="F27" s="9" t="n">
        <x:v>0.21034525292844483</x:v>
      </x:c>
      <x:c r="G27" s="9" t="n">
        <x:v>0.1841516788882893</x:v>
      </x:c>
      <x:c r="H27" s="9" t="n">
        <x:v>0.13042537030772766</x:v>
      </x:c>
      <x:c r="I27" s="9" t="n">
        <x:v>0.26499941473543087</x:v>
      </x:c>
    </x:row>
    <x:row r="28" ht="15" hidden="0" customHeight="1">
      <x:c r="A28" s="9" t="str">
        <x:v>realized_volatility_63d</x:v>
      </x:c>
      <x:c r="B28" s="9" t="str">
        <x:v>base_or_missing_indicator</x:v>
      </x:c>
      <x:c r="C28" s="9" t="n">
        <x:v>7069</x:v>
      </x:c>
      <x:c r="D28" s="13" t="str">
        <x:v>1997-05-19</x:v>
      </x:c>
      <x:c r="E28" s="13" t="str">
        <x:v>2026-08-14</x:v>
      </x:c>
      <x:c r="F28" s="9" t="n">
        <x:v>0.2170215555708395</x:v>
      </x:c>
      <x:c r="G28" s="9" t="n">
        <x:v>0.18781949096566375</x:v>
      </x:c>
      <x:c r="H28" s="9" t="n">
        <x:v>0.14201375426006915</x:v>
      </x:c>
      <x:c r="I28" s="9" t="n">
        <x:v>0.2723605366038134</x:v>
      </x:c>
    </x:row>
    <x:row r="29" ht="15" hidden="0" customHeight="1">
      <x:c r="A29" s="9" t="str">
        <x:v>downside_semivariance_21d</x:v>
      </x:c>
      <x:c r="B29" s="9" t="str">
        <x:v>base_or_missing_indicator</x:v>
      </x:c>
      <x:c r="C29" s="9" t="n">
        <x:v>7111</x:v>
      </x:c>
      <x:c r="D29" s="13" t="str">
        <x:v>1997-03-19</x:v>
      </x:c>
      <x:c r="E29" s="13" t="str">
        <x:v>2026-08-14</x:v>
      </x:c>
      <x:c r="F29" s="9" t="n">
        <x:v>0.00005659074148939057</x:v>
      </x:c>
      <x:c r="G29" s="9" t="n">
        <x:v>0.00006443043472432815</x:v>
      </x:c>
      <x:c r="H29" s="9" t="n">
        <x:v>0.000025783179751121008</x:v>
      </x:c>
      <x:c r="I29" s="9" t="n">
        <x:v>0.00014395418961939686</x:v>
      </x:c>
    </x:row>
    <x:row r="30" ht="15" hidden="0" customHeight="1">
      <x:c r="A30" s="9" t="str">
        <x:v>jump_variation_21d</x:v>
      </x:c>
      <x:c r="B30" s="9" t="str">
        <x:v>base_or_missing_indicator</x:v>
      </x:c>
      <x:c r="C30" s="9" t="n">
        <x:v>7111</x:v>
      </x:c>
      <x:c r="D30" s="13" t="str">
        <x:v>1997-03-19</x:v>
      </x:c>
      <x:c r="E30" s="13" t="str">
        <x:v>2026-08-14</x:v>
      </x:c>
      <x:c r="F30" s="9" t="n">
        <x:v>0</x:v>
      </x:c>
      <x:c r="G30" s="9" t="n">
        <x:v>0.0002055466658155555</x:v>
      </x:c>
      <x:c r="H30" s="9" t="n">
        <x:v>0</x:v>
      </x:c>
      <x:c r="I30" s="9" t="n">
        <x:v>0.0006482996156456163</x:v>
      </x:c>
    </x:row>
    <x:row r="31" ht="15" hidden="0" customHeight="1">
      <x:c r="A31" s="9" t="str">
        <x:v>term_spread_change_5d</x:v>
      </x:c>
      <x:c r="B31" s="9" t="str">
        <x:v>base_or_missing_indicator</x:v>
      </x:c>
      <x:c r="C31" s="9" t="n">
        <x:v>7127</x:v>
      </x:c>
      <x:c r="D31" s="13" t="str">
        <x:v>1997-02-25</x:v>
      </x:c>
      <x:c r="E31" s="13" t="str">
        <x:v>2026-08-14</x:v>
      </x:c>
      <x:c r="F31" s="9" t="n">
        <x:v>0.04999999999999982</x:v>
      </x:c>
      <x:c r="G31" s="9" t="n">
        <x:v>-4.440892098500626e-16</x:v>
      </x:c>
      <x:c r="H31" s="9" t="n">
        <x:v>-0.04999999999999982</x:v>
      </x:c>
      <x:c r="I31" s="9" t="n">
        <x:v>0.049999999999998934</x:v>
      </x:c>
    </x:row>
    <x:row r="32" ht="15" hidden="0" customHeight="1">
      <x:c r="A32" s="9" t="str">
        <x:v>dollar_change_5d</x:v>
      </x:c>
      <x:c r="B32" s="9" t="str">
        <x:v>base_or_missing_indicator</x:v>
      </x:c>
      <x:c r="C32" s="9" t="n">
        <x:v>7127</x:v>
      </x:c>
      <x:c r="D32" s="13" t="str">
        <x:v>1997-02-25</x:v>
      </x:c>
      <x:c r="E32" s="13" t="str">
        <x:v>2026-08-14</x:v>
      </x:c>
      <x:c r="F32" s="9" t="n">
        <x:v>-0.0013623699777083331</x:v>
      </x:c>
      <x:c r="G32" s="9" t="n">
        <x:v>-0.00008477339032175735</x:v>
      </x:c>
      <x:c r="H32" s="9" t="n">
        <x:v>-0.0044921106094024665</x:v>
      </x:c>
      <x:c r="I32" s="9" t="n">
        <x:v>0.004324349876104527</x:v>
      </x:c>
    </x:row>
    <x:row r="33" ht="15" hidden="0" customHeight="1">
      <x:c r="A33" s="9" t="str">
        <x:v>vix_inversion</x:v>
      </x:c>
      <x:c r="B33" s="9" t="str">
        <x:v>base_or_missing_indicator</x:v>
      </x:c>
      <x:c r="C33" s="9" t="n">
        <x:v>7131</x:v>
      </x:c>
      <x:c r="D33" s="13" t="str">
        <x:v>1997-02-19</x:v>
      </x:c>
      <x:c r="E33" s="13" t="str">
        <x:v>2026-08-14</x:v>
      </x:c>
      <x:c r="F33" s="9" t="n">
        <x:v>0</x:v>
      </x:c>
      <x:c r="G33" s="9" t="n">
        <x:v>0</x:v>
      </x:c>
      <x:c r="H33" s="9" t="n">
        <x:v>0</x:v>
      </x:c>
      <x:c r="I33" s="9" t="n">
        <x:v>1</x:v>
      </x:c>
    </x:row>
    <x:row r="34" ht="15" hidden="0" customHeight="1">
      <x:c r="A34" s="9" t="str">
        <x:v>vix_term_log_slope</x:v>
      </x:c>
      <x:c r="B34" s="9" t="str">
        <x:v>base_or_missing_indicator</x:v>
      </x:c>
      <x:c r="C34" s="9" t="n">
        <x:v>3875</x:v>
      </x:c>
      <x:c r="D34" s="13" t="str">
        <x:v>2011-01-04</x:v>
      </x:c>
      <x:c r="E34" s="13" t="str">
        <x:v>2026-08-14</x:v>
      </x:c>
      <x:c r="F34" s="9" t="n">
        <x:v>-0.5538092764488144</x:v>
      </x:c>
      <x:c r="G34" s="9" t="n">
        <x:v>-0.18738450758196182</x:v>
      </x:c>
      <x:c r="H34" s="9" t="n">
        <x:v>-0.2922445140121357</x:v>
      </x:c>
      <x:c r="I34" s="9" t="n">
        <x:v>-0.07117674825939915</x:v>
      </x:c>
    </x:row>
    <x:row r="35" ht="15" hidden="0" customHeight="1">
      <x:c r="A35" s="9" t="str">
        <x:v>vvix_log_level</x:v>
      </x:c>
      <x:c r="B35" s="9" t="str">
        <x:v>base_or_missing_indicator</x:v>
      </x:c>
      <x:c r="C35" s="9" t="n">
        <x:v>5053</x:v>
      </x:c>
      <x:c r="D35" s="13" t="str">
        <x:v>2006-03-06</x:v>
      </x:c>
      <x:c r="E35" s="13" t="str">
        <x:v>2026-08-14</x:v>
      </x:c>
      <x:c r="F35" s="9" t="n">
        <x:v>4.471410195808567</x:v>
      </x:c>
      <x:c r="G35" s="9" t="n">
        <x:v>4.508218659911641</x:v>
      </x:c>
      <x:c r="H35" s="9" t="n">
        <x:v>4.411585436915426</x:v>
      </x:c>
      <x:c r="I35" s="9" t="n">
        <x:v>4.623501142672815</x:v>
      </x:c>
    </x:row>
    <x:row r="36" ht="15" hidden="0" customHeight="1">
      <x:c r="A36" s="9" t="str">
        <x:v>skew_level</x:v>
      </x:c>
      <x:c r="B36" s="9" t="str">
        <x:v>base_or_missing_indicator</x:v>
      </x:c>
      <x:c r="C36" s="9" t="n">
        <x:v>7131</x:v>
      </x:c>
      <x:c r="D36" s="13" t="str">
        <x:v>1997-02-19</x:v>
      </x:c>
      <x:c r="E36" s="13" t="str">
        <x:v>2026-08-14</x:v>
      </x:c>
      <x:c r="F36" s="9" t="n">
        <x:v>138.36</x:v>
      </x:c>
      <x:c r="G36" s="9" t="n">
        <x:v>122.06</x:v>
      </x:c>
      <x:c r="H36" s="9" t="n">
        <x:v>116.745</x:v>
      </x:c>
      <x:c r="I36" s="9" t="n">
        <x:v>131.96499999999997</x:v>
      </x:c>
    </x:row>
    <x:row r="37" ht="15" hidden="0" customHeight="1">
      <x:c r="A37" s="9" t="str">
        <x:v>off_exchange_share</x:v>
      </x:c>
      <x:c r="B37" s="9" t="str">
        <x:v>base_or_missing_indicator</x:v>
      </x:c>
      <x:c r="C37" s="9" t="n">
        <x:v>4369</x:v>
      </x:c>
      <x:c r="D37" s="13" t="str">
        <x:v>2009-01-02</x:v>
      </x:c>
      <x:c r="E37" s="13" t="str">
        <x:v>2026-08-14</x:v>
      </x:c>
      <x:c r="F37" s="9" t="n">
        <x:v>0.4713536110407807</x:v>
      </x:c>
      <x:c r="G37" s="9" t="n">
        <x:v>0</x:v>
      </x:c>
      <x:c r="H37" s="9" t="n">
        <x:v>0</x:v>
      </x:c>
      <x:c r="I37" s="9" t="n">
        <x:v>0.3985737151046952</x:v>
      </x:c>
    </x:row>
    <x:row r="38" ht="15" hidden="0" customHeight="1">
      <x:c r="A38" s="9" t="str">
        <x:v>tape_c_share</x:v>
      </x:c>
      <x:c r="B38" s="9" t="str">
        <x:v>base_or_missing_indicator</x:v>
      </x:c>
      <x:c r="C38" s="9" t="n">
        <x:v>4369</x:v>
      </x:c>
      <x:c r="D38" s="13" t="str">
        <x:v>2009-01-02</x:v>
      </x:c>
      <x:c r="E38" s="13" t="str">
        <x:v>2026-08-14</x:v>
      </x:c>
      <x:c r="F38" s="9" t="n">
        <x:v>0.535738312577657</x:v>
      </x:c>
      <x:c r="G38" s="9" t="n">
        <x:v>0.31858711803600204</x:v>
      </x:c>
      <x:c r="H38" s="9" t="n">
        <x:v>0.2522851437968225</x:v>
      </x:c>
      <x:c r="I38" s="9" t="n">
        <x:v>0.4292064862362553</x:v>
      </x:c>
    </x:row>
    <x:row r="39" ht="15" hidden="0" customHeight="1">
      <x:c r="A39" s="9" t="str">
        <x:v>market_notional_log_change</x:v>
      </x:c>
      <x:c r="B39" s="9" t="str">
        <x:v>base_or_missing_indicator</x:v>
      </x:c>
      <x:c r="C39" s="9" t="n">
        <x:v>4368</x:v>
      </x:c>
      <x:c r="D39" s="13" t="str">
        <x:v>2009-01-05</x:v>
      </x:c>
      <x:c r="E39" s="13" t="str">
        <x:v>2026-08-14</x:v>
      </x:c>
      <x:c r="F39" s="9" t="n">
        <x:v>-0.15308793486686056</x:v>
      </x:c>
      <x:c r="G39" s="9" t="n">
        <x:v>-0.0030838723113841837</x:v>
      </x:c>
      <x:c r="H39" s="9" t="n">
        <x:v>-0.091381216176738</x:v>
      </x:c>
      <x:c r="I39" s="9" t="n">
        <x:v>0.09149124565268618</x:v>
      </x:c>
    </x:row>
    <x:row r="40" ht="15" hidden="0" customHeight="1">
      <x:c r="A40" s="9" t="str">
        <x:v>market_trade_log_change</x:v>
      </x:c>
      <x:c r="B40" s="9" t="str">
        <x:v>base_or_missing_indicator</x:v>
      </x:c>
      <x:c r="C40" s="9" t="n">
        <x:v>4368</x:v>
      </x:c>
      <x:c r="D40" s="13" t="str">
        <x:v>2009-01-05</x:v>
      </x:c>
      <x:c r="E40" s="13" t="str">
        <x:v>2026-08-14</x:v>
      </x:c>
      <x:c r="F40" s="9" t="n">
        <x:v>-0.053021557019246046</x:v>
      </x:c>
      <x:c r="G40" s="9" t="n">
        <x:v>-0.0028563877886522704</x:v>
      </x:c>
      <x:c r="H40" s="9" t="n">
        <x:v>-0.07034901578035946</x:v>
      </x:c>
      <x:c r="I40" s="9" t="n">
        <x:v>0.07014194700195375</x:v>
      </x:c>
    </x:row>
    <x:row r="41" ht="15" hidden="0" customHeight="1">
      <x:c r="A41" s="9" t="str">
        <x:v>core_cboe_vix_log_level</x:v>
      </x:c>
      <x:c r="B41" s="9" t="str">
        <x:v>core_public</x:v>
      </x:c>
      <x:c r="C41" s="9" t="n">
        <x:v>4957</x:v>
      </x:c>
      <x:c r="D41" s="13" t="str">
        <x:v>2006-08-24</x:v>
      </x:c>
      <x:c r="E41" s="13" t="str">
        <x:v>2026-08-14</x:v>
      </x:c>
      <x:c r="F41" s="9" t="n">
        <x:v>2.683074215032033</x:v>
      </x:c>
      <x:c r="G41" s="9" t="n">
        <x:v>2.8507065015037334</x:v>
      </x:c>
      <x:c r="H41" s="9" t="n">
        <x:v>2.6340447877917144</x:v>
      </x:c>
      <x:c r="I41" s="9" t="n">
        <x:v>3.1157350659486873</x:v>
      </x:c>
    </x:row>
    <x:row r="42" ht="15" hidden="0" customHeight="1">
      <x:c r="A42" s="9" t="str">
        <x:v>core_cboe_vix_log_level_age_sessions</x:v>
      </x:c>
      <x:c r="B42" s="9" t="str">
        <x:v>core_public</x:v>
      </x:c>
      <x:c r="C42" s="9" t="n">
        <x:v>4957</x:v>
      </x:c>
      <x:c r="D42" s="13" t="str">
        <x:v>2006-08-24</x:v>
      </x:c>
      <x:c r="E42" s="13" t="str">
        <x:v>2026-08-14</x:v>
      </x:c>
      <x:c r="F42" s="9" t="n">
        <x:v>0</x:v>
      </x:c>
      <x:c r="G42" s="9" t="n">
        <x:v>0</x:v>
      </x:c>
      <x:c r="H42" s="9" t="n">
        <x:v>0</x:v>
      </x:c>
      <x:c r="I42" s="9" t="n">
        <x:v>0</x:v>
      </x:c>
    </x:row>
    <x:row r="43" ht="15" hidden="0" customHeight="1">
      <x:c r="A43" s="9" t="str">
        <x:v>core_cboe_vix9d_log_level</x:v>
      </x:c>
      <x:c r="B43" s="9" t="str">
        <x:v>core_public</x:v>
      </x:c>
      <x:c r="C43" s="9" t="n">
        <x:v>3874</x:v>
      </x:c>
      <x:c r="D43" s="13" t="str">
        <x:v>2011-01-05</x:v>
      </x:c>
      <x:c r="E43" s="13" t="str">
        <x:v>2026-08-14</x:v>
      </x:c>
      <x:c r="F43" s="9" t="n">
        <x:v>2.4309783077624445</x:v>
      </x:c>
      <x:c r="G43" s="9" t="n">
        <x:v>2.7265447837383743</x:v>
      </x:c>
      <x:c r="H43" s="9" t="n">
        <x:v>2.528125768907977</x:v>
      </x:c>
      <x:c r="I43" s="9" t="n">
        <x:v>2.9919751301875537</x:v>
      </x:c>
    </x:row>
    <x:row r="44" ht="15" hidden="0" customHeight="1">
      <x:c r="A44" s="9" t="str">
        <x:v>core_cboe_vix9d_log_level_age_sessions</x:v>
      </x:c>
      <x:c r="B44" s="9" t="str">
        <x:v>core_public</x:v>
      </x:c>
      <x:c r="C44" s="9" t="n">
        <x:v>3874</x:v>
      </x:c>
      <x:c r="D44" s="13" t="str">
        <x:v>2011-01-05</x:v>
      </x:c>
      <x:c r="E44" s="13" t="str">
        <x:v>2026-08-14</x:v>
      </x:c>
      <x:c r="F44" s="9" t="n">
        <x:v>0</x:v>
      </x:c>
      <x:c r="G44" s="9" t="n">
        <x:v>0</x:v>
      </x:c>
      <x:c r="H44" s="9" t="n">
        <x:v>0</x:v>
      </x:c>
      <x:c r="I44" s="9" t="n">
        <x:v>0</x:v>
      </x:c>
    </x:row>
    <x:row r="45" ht="15" hidden="0" customHeight="1">
      <x:c r="A45" s="9" t="str">
        <x:v>core_cboe_vix3m_log_level</x:v>
      </x:c>
      <x:c r="B45" s="9" t="str">
        <x:v>core_public</x:v>
      </x:c>
      <x:c r="C45" s="9" t="n">
        <x:v>4190</x:v>
      </x:c>
      <x:c r="D45" s="13" t="str">
        <x:v>2009-09-21</x:v>
      </x:c>
      <x:c r="E45" s="13" t="str">
        <x:v>2026-08-14</x:v>
      </x:c>
      <x:c r="F45" s="9" t="n">
        <x:v>2.9236990706541595</x:v>
      </x:c>
      <x:c r="G45" s="9" t="n">
        <x:v>2.9569914452375605</x:v>
      </x:c>
      <x:c r="H45" s="9" t="n">
        <x:v>2.771963526845863</x:v>
      </x:c>
      <x:c r="I45" s="9" t="n">
        <x:v>3.141346552275192</x:v>
      </x:c>
    </x:row>
    <x:row r="46" ht="15" hidden="0" customHeight="1">
      <x:c r="A46" s="9" t="str">
        <x:v>core_cboe_vix3m_log_level_age_sessions</x:v>
      </x:c>
      <x:c r="B46" s="9" t="str">
        <x:v>core_public</x:v>
      </x:c>
      <x:c r="C46" s="9" t="n">
        <x:v>4190</x:v>
      </x:c>
      <x:c r="D46" s="13" t="str">
        <x:v>2009-09-21</x:v>
      </x:c>
      <x:c r="E46" s="13" t="str">
        <x:v>2026-08-14</x:v>
      </x:c>
      <x:c r="F46" s="9" t="n">
        <x:v>0</x:v>
      </x:c>
      <x:c r="G46" s="9" t="n">
        <x:v>0</x:v>
      </x:c>
      <x:c r="H46" s="9" t="n">
        <x:v>0</x:v>
      </x:c>
      <x:c r="I46" s="9" t="n">
        <x:v>0</x:v>
      </x:c>
    </x:row>
    <x:row r="47" ht="15" hidden="0" customHeight="1">
      <x:c r="A47" s="9" t="str">
        <x:v>core_cboe_vvix_log_level</x:v>
      </x:c>
      <x:c r="B47" s="9" t="str">
        <x:v>core_public</x:v>
      </x:c>
      <x:c r="C47" s="9" t="n">
        <x:v>4957</x:v>
      </x:c>
      <x:c r="D47" s="13" t="str">
        <x:v>2006-08-24</x:v>
      </x:c>
      <x:c r="E47" s="13" t="str">
        <x:v>2026-08-14</x:v>
      </x:c>
      <x:c r="F47" s="9" t="n">
        <x:v>4.4933443708058345</x:v>
      </x:c>
      <x:c r="G47" s="9" t="n">
        <x:v>4.509649984130679</x:v>
      </x:c>
      <x:c r="H47" s="9" t="n">
        <x:v>4.4135253017332525</x:v>
      </x:c>
      <x:c r="I47" s="9" t="n">
        <x:v>4.625560875635825</x:v>
      </x:c>
    </x:row>
    <x:row r="48" ht="15" hidden="0" customHeight="1">
      <x:c r="A48" s="9" t="str">
        <x:v>core_cboe_vvix_log_level_age_sessions</x:v>
      </x:c>
      <x:c r="B48" s="9" t="str">
        <x:v>core_public</x:v>
      </x:c>
      <x:c r="C48" s="9" t="n">
        <x:v>4957</x:v>
      </x:c>
      <x:c r="D48" s="13" t="str">
        <x:v>2006-08-24</x:v>
      </x:c>
      <x:c r="E48" s="13" t="str">
        <x:v>2026-08-14</x:v>
      </x:c>
      <x:c r="F48" s="9" t="n">
        <x:v>0</x:v>
      </x:c>
      <x:c r="G48" s="9" t="n">
        <x:v>0</x:v>
      </x:c>
      <x:c r="H48" s="9" t="n">
        <x:v>0</x:v>
      </x:c>
      <x:c r="I48" s="9" t="n">
        <x:v>0</x:v>
      </x:c>
    </x:row>
    <x:row r="49" ht="15" hidden="0" customHeight="1">
      <x:c r="A49" s="9" t="str">
        <x:v>core_cboe_skew</x:v>
      </x:c>
      <x:c r="B49" s="9" t="str">
        <x:v>core_public</x:v>
      </x:c>
      <x:c r="C49" s="9" t="n">
        <x:v>4957</x:v>
      </x:c>
      <x:c r="D49" s="13" t="str">
        <x:v>2006-08-24</x:v>
      </x:c>
      <x:c r="E49" s="13" t="str">
        <x:v>2026-08-14</x:v>
      </x:c>
      <x:c r="F49" s="9" t="n">
        <x:v>134.37</x:v>
      </x:c>
      <x:c r="G49" s="9" t="n">
        <x:v>126</x:v>
      </x:c>
      <x:c r="H49" s="9" t="n">
        <x:v>119.68</x:v>
      </x:c>
      <x:c r="I49" s="9" t="n">
        <x:v>137.2</x:v>
      </x:c>
    </x:row>
    <x:row r="50" ht="15" hidden="0" customHeight="1">
      <x:c r="A50" s="9" t="str">
        <x:v>core_cboe_skew_age_sessions</x:v>
      </x:c>
      <x:c r="B50" s="9" t="str">
        <x:v>core_public</x:v>
      </x:c>
      <x:c r="C50" s="9" t="n">
        <x:v>4957</x:v>
      </x:c>
      <x:c r="D50" s="13" t="str">
        <x:v>2006-08-24</x:v>
      </x:c>
      <x:c r="E50" s="13" t="str">
        <x:v>2026-08-14</x:v>
      </x:c>
      <x:c r="F50" s="9" t="n">
        <x:v>0</x:v>
      </x:c>
      <x:c r="G50" s="9" t="n">
        <x:v>0</x:v>
      </x:c>
      <x:c r="H50" s="9" t="n">
        <x:v>0</x:v>
      </x:c>
      <x:c r="I50" s="9" t="n">
        <x:v>0</x:v>
      </x:c>
    </x:row>
    <x:row r="51" ht="15" hidden="0" customHeight="1">
      <x:c r="A51" s="9" t="str">
        <x:v>core_cboe_vix_term_log_slope</x:v>
      </x:c>
      <x:c r="B51" s="9" t="str">
        <x:v>core_public</x:v>
      </x:c>
      <x:c r="C51" s="9" t="n">
        <x:v>3874</x:v>
      </x:c>
      <x:c r="D51" s="13" t="str">
        <x:v>2011-01-05</x:v>
      </x:c>
      <x:c r="E51" s="13" t="str">
        <x:v>2026-08-14</x:v>
      </x:c>
      <x:c r="F51" s="9" t="n">
        <x:v>-0.49272076289171474</x:v>
      </x:c>
      <x:c r="G51" s="9" t="n">
        <x:v>-0.1872110468229174</x:v>
      </x:c>
      <x:c r="H51" s="9" t="n">
        <x:v>-0.29203972133757616</x:v>
      </x:c>
      <x:c r="I51" s="9" t="n">
        <x:v>-0.07108229883538247</x:v>
      </x:c>
    </x:row>
    <x:row r="52" ht="15" hidden="0" customHeight="1">
      <x:c r="A52" s="9" t="str">
        <x:v>core_cboe_vix_term_log_slope_age_sessions</x:v>
      </x:c>
      <x:c r="B52" s="9" t="str">
        <x:v>core_public</x:v>
      </x:c>
      <x:c r="C52" s="9" t="n">
        <x:v>3874</x:v>
      </x:c>
      <x:c r="D52" s="13" t="str">
        <x:v>2011-01-05</x:v>
      </x:c>
      <x:c r="E52" s="13" t="str">
        <x:v>2026-08-14</x:v>
      </x:c>
      <x:c r="F52" s="9" t="n">
        <x:v>0</x:v>
      </x:c>
      <x:c r="G52" s="9" t="n">
        <x:v>0</x:v>
      </x:c>
      <x:c r="H52" s="9" t="n">
        <x:v>0</x:v>
      </x:c>
      <x:c r="I52" s="9" t="n">
        <x:v>0</x:v>
      </x:c>
    </x:row>
    <x:row r="53" ht="15" hidden="0" customHeight="1">
      <x:c r="A53" s="9" t="str">
        <x:v>core_treasury_2y</x:v>
      </x:c>
      <x:c r="B53" s="9" t="str">
        <x:v>core_public</x:v>
      </x:c>
      <x:c r="C53" s="9" t="n">
        <x:v>4869</x:v>
      </x:c>
      <x:c r="D53" s="13" t="str">
        <x:v>2007-01-03</x:v>
      </x:c>
      <x:c r="E53" s="13" t="str">
        <x:v>2026-08-14</x:v>
      </x:c>
      <x:c r="F53" s="9" t="n">
        <x:v>4.15</x:v>
      </x:c>
      <x:c r="G53" s="9" t="n">
        <x:v>1.12</x:v>
      </x:c>
      <x:c r="H53" s="9" t="n">
        <x:v>0.47</x:v>
      </x:c>
      <x:c r="I53" s="9" t="n">
        <x:v>3.25</x:v>
      </x:c>
    </x:row>
    <x:row r="54" ht="15" hidden="0" customHeight="1">
      <x:c r="A54" s="9" t="str">
        <x:v>core_treasury_2y_age_sessions</x:v>
      </x:c>
      <x:c r="B54" s="9" t="str">
        <x:v>core_public</x:v>
      </x:c>
      <x:c r="C54" s="9" t="n">
        <x:v>4869</x:v>
      </x:c>
      <x:c r="D54" s="13" t="str">
        <x:v>2007-01-03</x:v>
      </x:c>
      <x:c r="E54" s="13" t="str">
        <x:v>2026-08-14</x:v>
      </x:c>
      <x:c r="F54" s="9" t="n">
        <x:v>0</x:v>
      </x:c>
      <x:c r="G54" s="9" t="n">
        <x:v>0</x:v>
      </x:c>
      <x:c r="H54" s="9" t="n">
        <x:v>0</x:v>
      </x:c>
      <x:c r="I54" s="9" t="n">
        <x:v>0</x:v>
      </x:c>
    </x:row>
    <x:row r="55" ht="15" hidden="0" customHeight="1">
      <x:c r="A55" s="9" t="str">
        <x:v>core_treasury_10y</x:v>
      </x:c>
      <x:c r="B55" s="9" t="str">
        <x:v>core_public</x:v>
      </x:c>
      <x:c r="C55" s="9" t="n">
        <x:v>4869</x:v>
      </x:c>
      <x:c r="D55" s="13" t="str">
        <x:v>2007-01-03</x:v>
      </x:c>
      <x:c r="E55" s="13" t="str">
        <x:v>2026-08-14</x:v>
      </x:c>
      <x:c r="F55" s="9" t="n">
        <x:v>4.63</x:v>
      </x:c>
      <x:c r="G55" s="9" t="n">
        <x:v>2.73</x:v>
      </x:c>
      <x:c r="H55" s="9" t="n">
        <x:v>2</x:v>
      </x:c>
      <x:c r="I55" s="9" t="n">
        <x:v>3.8</x:v>
      </x:c>
    </x:row>
    <x:row r="56" ht="15" hidden="0" customHeight="1">
      <x:c r="A56" s="9" t="str">
        <x:v>core_treasury_10y_age_sessions</x:v>
      </x:c>
      <x:c r="B56" s="9" t="str">
        <x:v>core_public</x:v>
      </x:c>
      <x:c r="C56" s="9" t="n">
        <x:v>4869</x:v>
      </x:c>
      <x:c r="D56" s="13" t="str">
        <x:v>2007-01-03</x:v>
      </x:c>
      <x:c r="E56" s="13" t="str">
        <x:v>2026-08-14</x:v>
      </x:c>
      <x:c r="F56" s="9" t="n">
        <x:v>0</x:v>
      </x:c>
      <x:c r="G56" s="9" t="n">
        <x:v>0</x:v>
      </x:c>
      <x:c r="H56" s="9" t="n">
        <x:v>0</x:v>
      </x:c>
      <x:c r="I56" s="9" t="n">
        <x:v>0</x:v>
      </x:c>
    </x:row>
    <x:row r="57" ht="15" hidden="0" customHeight="1">
      <x:c r="A57" s="9" t="str">
        <x:v>core_treasury_10y2y</x:v>
      </x:c>
      <x:c r="B57" s="9" t="str">
        <x:v>core_public</x:v>
      </x:c>
      <x:c r="C57" s="9" t="n">
        <x:v>4869</x:v>
      </x:c>
      <x:c r="D57" s="13" t="str">
        <x:v>2007-01-03</x:v>
      </x:c>
      <x:c r="E57" s="13" t="str">
        <x:v>2026-08-14</x:v>
      </x:c>
      <x:c r="F57" s="9" t="n">
        <x:v>0.47999999999999954</x:v>
      </x:c>
      <x:c r="G57" s="9" t="n">
        <x:v>0.98</x:v>
      </x:c>
      <x:c r="H57" s="9" t="n">
        <x:v>0.2799999999999998</x:v>
      </x:c>
      <x:c r="I57" s="9" t="n">
        <x:v>1.74</x:v>
      </x:c>
    </x:row>
    <x:row r="58" ht="15" hidden="0" customHeight="1">
      <x:c r="A58" s="9" t="str">
        <x:v>core_treasury_2y_change_bps</x:v>
      </x:c>
      <x:c r="B58" s="9" t="str">
        <x:v>core_public</x:v>
      </x:c>
      <x:c r="C58" s="9" t="n">
        <x:v>4868</x:v>
      </x:c>
      <x:c r="D58" s="13" t="str">
        <x:v>2007-01-04</x:v>
      </x:c>
      <x:c r="E58" s="13" t="str">
        <x:v>2026-08-14</x:v>
      </x:c>
      <x:c r="F58" s="9" t="n">
        <x:v>-4.999999999999982</x:v>
      </x:c>
      <x:c r="G58" s="9" t="n">
        <x:v>0</x:v>
      </x:c>
      <x:c r="H58" s="9" t="n">
        <x:v>-2.0000000000000018</x:v>
      </x:c>
      <x:c r="I58" s="9" t="n">
        <x:v>2.0000000000000018</x:v>
      </x:c>
    </x:row>
    <x:row r="59" ht="15" hidden="0" customHeight="1">
      <x:c r="A59" s="9" t="str">
        <x:v>core_treasury_real_10y</x:v>
      </x:c>
      <x:c r="B59" s="9" t="str">
        <x:v>core_public</x:v>
      </x:c>
      <x:c r="C59" s="9" t="n">
        <x:v>4869</x:v>
      </x:c>
      <x:c r="D59" s="13" t="str">
        <x:v>2007-01-03</x:v>
      </x:c>
      <x:c r="E59" s="13" t="str">
        <x:v>2026-08-14</x:v>
      </x:c>
      <x:c r="F59" s="9" t="n">
        <x:v>2.39</x:v>
      </x:c>
      <x:c r="G59" s="9" t="n">
        <x:v>0.68</x:v>
      </x:c>
      <x:c r="H59" s="9" t="n">
        <x:v>0.15</x:v>
      </x:c>
      <x:c r="I59" s="9" t="n">
        <x:v>1.68</x:v>
      </x:c>
    </x:row>
    <x:row r="60" ht="15" hidden="0" customHeight="1">
      <x:c r="A60" s="9" t="str">
        <x:v>core_treasury_real_10y_age_sessions</x:v>
      </x:c>
      <x:c r="B60" s="9" t="str">
        <x:v>core_public</x:v>
      </x:c>
      <x:c r="C60" s="9" t="n">
        <x:v>4869</x:v>
      </x:c>
      <x:c r="D60" s="13" t="str">
        <x:v>2007-01-03</x:v>
      </x:c>
      <x:c r="E60" s="13" t="str">
        <x:v>2026-08-14</x:v>
      </x:c>
      <x:c r="F60" s="9" t="n">
        <x:v>0</x:v>
      </x:c>
      <x:c r="G60" s="9" t="n">
        <x:v>0</x:v>
      </x:c>
      <x:c r="H60" s="9" t="n">
        <x:v>0</x:v>
      </x:c>
      <x:c r="I60" s="9" t="n">
        <x:v>0</x:v>
      </x:c>
    </x:row>
    <x:row r="61" ht="15" hidden="0" customHeight="1">
      <x:c r="A61" s="9" t="str">
        <x:v>challenger_ofr_fsi</x:v>
      </x:c>
      <x:c r="B61" s="9" t="str">
        <x:v>challenger_stress</x:v>
      </x:c>
      <x:c r="C61" s="9" t="n">
        <x:v>4957</x:v>
      </x:c>
      <x:c r="D61" s="13" t="str">
        <x:v>2006-08-24</x:v>
      </x:c>
      <x:c r="E61" s="13" t="str">
        <x:v>2026-08-14</x:v>
      </x:c>
      <x:c r="F61" s="9" t="n">
        <x:v>-2.907</x:v>
      </x:c>
      <x:c r="G61" s="9" t="n">
        <x:v>-1.46</x:v>
      </x:c>
      <x:c r="H61" s="9" t="n">
        <x:v>-2.685</x:v>
      </x:c>
      <x:c r="I61" s="9" t="n">
        <x:v>0.652</x:v>
      </x:c>
    </x:row>
    <x:row r="62" ht="15" hidden="0" customHeight="1">
      <x:c r="A62" s="9" t="str">
        <x:v>challenger_ofr_fsi_age_sessions</x:v>
      </x:c>
      <x:c r="B62" s="9" t="str">
        <x:v>challenger_stress</x:v>
      </x:c>
      <x:c r="C62" s="9" t="n">
        <x:v>4957</x:v>
      </x:c>
      <x:c r="D62" s="13" t="str">
        <x:v>2006-08-24</x:v>
      </x:c>
      <x:c r="E62" s="13" t="str">
        <x:v>2026-08-14</x:v>
      </x:c>
      <x:c r="F62" s="9" t="n">
        <x:v>0</x:v>
      </x:c>
      <x:c r="G62" s="9" t="n">
        <x:v>0</x:v>
      </x:c>
      <x:c r="H62" s="9" t="n">
        <x:v>0</x:v>
      </x:c>
      <x:c r="I62" s="9" t="n">
        <x:v>0</x:v>
      </x:c>
    </x:row>
    <x:row r="63" ht="15" hidden="0" customHeight="1">
      <x:c r="A63" s="9" t="str">
        <x:v>challenger_ofr_volatility</x:v>
      </x:c>
      <x:c r="B63" s="9" t="str">
        <x:v>challenger_stress</x:v>
      </x:c>
      <x:c r="C63" s="9" t="n">
        <x:v>4957</x:v>
      </x:c>
      <x:c r="D63" s="13" t="str">
        <x:v>2006-08-24</x:v>
      </x:c>
      <x:c r="E63" s="13" t="str">
        <x:v>2026-08-14</x:v>
      </x:c>
      <x:c r="F63" s="9" t="n">
        <x:v>-0.697</x:v>
      </x:c>
      <x:c r="G63" s="9" t="n">
        <x:v>-0.524</x:v>
      </x:c>
      <x:c r="H63" s="9" t="n">
        <x:v>-1.329</x:v>
      </x:c>
      <x:c r="I63" s="9" t="n">
        <x:v>0.222</x:v>
      </x:c>
    </x:row>
    <x:row r="64" ht="15" hidden="0" customHeight="1">
      <x:c r="A64" s="9" t="str">
        <x:v>challenger_ofr_volatility_age_sessions</x:v>
      </x:c>
      <x:c r="B64" s="9" t="str">
        <x:v>challenger_stress</x:v>
      </x:c>
      <x:c r="C64" s="9" t="n">
        <x:v>4957</x:v>
      </x:c>
      <x:c r="D64" s="13" t="str">
        <x:v>2006-08-24</x:v>
      </x:c>
      <x:c r="E64" s="13" t="str">
        <x:v>2026-08-14</x:v>
      </x:c>
      <x:c r="F64" s="9" t="n">
        <x:v>0</x:v>
      </x:c>
      <x:c r="G64" s="9" t="n">
        <x:v>0</x:v>
      </x:c>
      <x:c r="H64" s="9" t="n">
        <x:v>0</x:v>
      </x:c>
      <x:c r="I64" s="9" t="n">
        <x:v>0</x:v>
      </x:c>
    </x:row>
    <x:row r="65" ht="15" hidden="0" customHeight="1">
      <x:c r="A65" s="9" t="str">
        <x:v>challenger_ofr_funding</x:v>
      </x:c>
      <x:c r="B65" s="9" t="str">
        <x:v>challenger_stress</x:v>
      </x:c>
      <x:c r="C65" s="9" t="n">
        <x:v>4957</x:v>
      </x:c>
      <x:c r="D65" s="13" t="str">
        <x:v>2006-08-24</x:v>
      </x:c>
      <x:c r="E65" s="13" t="str">
        <x:v>2026-08-14</x:v>
      </x:c>
      <x:c r="F65" s="9" t="n">
        <x:v>-0.135</x:v>
      </x:c>
      <x:c r="G65" s="9" t="n">
        <x:v>-0.185</x:v>
      </x:c>
      <x:c r="H65" s="9" t="n">
        <x:v>-0.432</x:v>
      </x:c>
      <x:c r="I65" s="9" t="n">
        <x:v>0.111</x:v>
      </x:c>
    </x:row>
    <x:row r="66" ht="15" hidden="0" customHeight="1">
      <x:c r="A66" s="9" t="str">
        <x:v>challenger_ofr_funding_age_sessions</x:v>
      </x:c>
      <x:c r="B66" s="9" t="str">
        <x:v>challenger_stress</x:v>
      </x:c>
      <x:c r="C66" s="9" t="n">
        <x:v>4957</x:v>
      </x:c>
      <x:c r="D66" s="13" t="str">
        <x:v>2006-08-24</x:v>
      </x:c>
      <x:c r="E66" s="13" t="str">
        <x:v>2026-08-14</x:v>
      </x:c>
      <x:c r="F66" s="9" t="n">
        <x:v>0</x:v>
      </x:c>
      <x:c r="G66" s="9" t="n">
        <x:v>0</x:v>
      </x:c>
      <x:c r="H66" s="9" t="n">
        <x:v>0</x:v>
      </x:c>
      <x:c r="I66" s="9" t="n">
        <x:v>0</x:v>
      </x:c>
    </x:row>
    <x:row r="67" ht="15" hidden="0" customHeight="1">
      <x:c r="A67" s="9" t="str">
        <x:v>challenger_cmdi_market</x:v>
      </x:c>
      <x:c r="B67" s="9" t="str">
        <x:v>challenger_stress</x:v>
      </x:c>
      <x:c r="C67" s="9" t="n">
        <x:v>4957</x:v>
      </x:c>
      <x:c r="D67" s="13" t="str">
        <x:v>2006-08-24</x:v>
      </x:c>
      <x:c r="E67" s="13" t="str">
        <x:v>2026-08-14</x:v>
      </x:c>
      <x:c r="F67" s="9" t="n">
        <x:v>0.14</x:v>
      </x:c>
      <x:c r="G67" s="9" t="n">
        <x:v>0.2</x:v>
      </x:c>
      <x:c r="H67" s="9" t="n">
        <x:v>0.13745275864493156</x:v>
      </x:c>
      <x:c r="I67" s="9" t="n">
        <x:v>0.28</x:v>
      </x:c>
    </x:row>
    <x:row r="68" ht="15" hidden="0" customHeight="1">
      <x:c r="A68" s="9" t="str">
        <x:v>challenger_cmdi_market_age_sessions</x:v>
      </x:c>
      <x:c r="B68" s="9" t="str">
        <x:v>challenger_stress</x:v>
      </x:c>
      <x:c r="C68" s="9" t="n">
        <x:v>4957</x:v>
      </x:c>
      <x:c r="D68" s="13" t="str">
        <x:v>2006-08-24</x:v>
      </x:c>
      <x:c r="E68" s="13" t="str">
        <x:v>2026-08-14</x:v>
      </x:c>
      <x:c r="F68" s="9" t="n">
        <x:v>4</x:v>
      </x:c>
      <x:c r="G68" s="9" t="n">
        <x:v>2</x:v>
      </x:c>
      <x:c r="H68" s="9" t="n">
        <x:v>1</x:v>
      </x:c>
      <x:c r="I68" s="9" t="n">
        <x:v>3</x:v>
      </x:c>
    </x:row>
    <x:row r="69" ht="15" hidden="0" customHeight="1">
      <x:c r="A69" s="9" t="str">
        <x:v>challenger_cmdi_hy</x:v>
      </x:c>
      <x:c r="B69" s="9" t="str">
        <x:v>challenger_stress</x:v>
      </x:c>
      <x:c r="C69" s="9" t="n">
        <x:v>4957</x:v>
      </x:c>
      <x:c r="D69" s="13" t="str">
        <x:v>2006-08-24</x:v>
      </x:c>
      <x:c r="E69" s="13" t="str">
        <x:v>2026-08-14</x:v>
      </x:c>
      <x:c r="F69" s="9" t="n">
        <x:v>0.06</x:v>
      </x:c>
      <x:c r="G69" s="9" t="n">
        <x:v>0.19</x:v>
      </x:c>
      <x:c r="H69" s="9" t="n">
        <x:v>0.13</x:v>
      </x:c>
      <x:c r="I69" s="9" t="n">
        <x:v>0.29</x:v>
      </x:c>
    </x:row>
    <x:row r="70" ht="15" hidden="0" customHeight="1">
      <x:c r="A70" s="9" t="str">
        <x:v>challenger_cmdi_hy_age_sessions</x:v>
      </x:c>
      <x:c r="B70" s="9" t="str">
        <x:v>challenger_stress</x:v>
      </x:c>
      <x:c r="C70" s="9" t="n">
        <x:v>4957</x:v>
      </x:c>
      <x:c r="D70" s="13" t="str">
        <x:v>2006-08-24</x:v>
      </x:c>
      <x:c r="E70" s="13" t="str">
        <x:v>2026-08-14</x:v>
      </x:c>
      <x:c r="F70" s="9" t="n">
        <x:v>4</x:v>
      </x:c>
      <x:c r="G70" s="9" t="n">
        <x:v>2</x:v>
      </x:c>
      <x:c r="H70" s="9" t="n">
        <x:v>1</x:v>
      </x:c>
      <x:c r="I70" s="9" t="n">
        <x:v>3</x:v>
      </x:c>
    </x:row>
    <x:row r="71" ht="15" hidden="0" customHeight="1">
      <x:c r="A71" s="9" t="str">
        <x:v>challenger_fed_ebp</x:v>
      </x:c>
      <x:c r="B71" s="9" t="str">
        <x:v>challenger_stress</x:v>
      </x:c>
      <x:c r="C71" s="9" t="n">
        <x:v>4957</x:v>
      </x:c>
      <x:c r="D71" s="13" t="str">
        <x:v>2006-08-24</x:v>
      </x:c>
      <x:c r="E71" s="13" t="str">
        <x:v>2026-08-14</x:v>
      </x:c>
      <x:c r="F71" s="9" t="n">
        <x:v>-0.319112793</x:v>
      </x:c>
      <x:c r="G71" s="9" t="n">
        <x:v>-0.105878179</x:v>
      </x:c>
      <x:c r="H71" s="9" t="n">
        <x:v>-0.257347188</x:v>
      </x:c>
      <x:c r="I71" s="9" t="n">
        <x:v>0.06615263</x:v>
      </x:c>
    </x:row>
    <x:row r="72" ht="15" hidden="0" customHeight="1">
      <x:c r="A72" s="9" t="str">
        <x:v>challenger_fed_ebp_age_sessions</x:v>
      </x:c>
      <x:c r="B72" s="9" t="str">
        <x:v>challenger_stress</x:v>
      </x:c>
      <x:c r="C72" s="9" t="n">
        <x:v>4957</x:v>
      </x:c>
      <x:c r="D72" s="13" t="str">
        <x:v>2006-08-24</x:v>
      </x:c>
      <x:c r="E72" s="13" t="str">
        <x:v>2026-08-14</x:v>
      </x:c>
      <x:c r="F72" s="9" t="n">
        <x:v>30</x:v>
      </x:c>
      <x:c r="G72" s="9" t="n">
        <x:v>10</x:v>
      </x:c>
      <x:c r="H72" s="9" t="n">
        <x:v>5</x:v>
      </x:c>
      <x:c r="I72" s="9" t="n">
        <x:v>15</x:v>
      </x:c>
    </x:row>
    <x:row r="73" ht="15" hidden="0" customHeight="1">
      <x:c r="A73" s="9" t="str">
        <x:v>challenger_fed_gz_spread</x:v>
      </x:c>
      <x:c r="B73" s="9" t="str">
        <x:v>challenger_stress</x:v>
      </x:c>
      <x:c r="C73" s="9" t="n">
        <x:v>4957</x:v>
      </x:c>
      <x:c r="D73" s="13" t="str">
        <x:v>2006-08-24</x:v>
      </x:c>
      <x:c r="E73" s="13" t="str">
        <x:v>2026-08-14</x:v>
      </x:c>
      <x:c r="F73" s="9" t="n">
        <x:v>0.8422860534739828</x:v>
      </x:c>
      <x:c r="G73" s="9" t="n">
        <x:v>1.8163662753635728</x:v>
      </x:c>
      <x:c r="H73" s="9" t="n">
        <x:v>1.4522557439524455</x:v>
      </x:c>
      <x:c r="I73" s="9" t="n">
        <x:v>2.418150617181132</x:v>
      </x:c>
    </x:row>
    <x:row r="74" ht="15" hidden="0" customHeight="1">
      <x:c r="A74" s="9" t="str">
        <x:v>challenger_fed_gz_spread_age_sessions</x:v>
      </x:c>
      <x:c r="B74" s="9" t="str">
        <x:v>challenger_stress</x:v>
      </x:c>
      <x:c r="C74" s="9" t="n">
        <x:v>4957</x:v>
      </x:c>
      <x:c r="D74" s="13" t="str">
        <x:v>2006-08-24</x:v>
      </x:c>
      <x:c r="E74" s="13" t="str">
        <x:v>2026-08-14</x:v>
      </x:c>
      <x:c r="F74" s="9" t="n">
        <x:v>30</x:v>
      </x:c>
      <x:c r="G74" s="9" t="n">
        <x:v>10</x:v>
      </x:c>
      <x:c r="H74" s="9" t="n">
        <x:v>5</x:v>
      </x:c>
      <x:c r="I74" s="9" t="n">
        <x:v>15</x:v>
      </x:c>
    </x:row>
    <x:row r="75" ht="15" hidden="0" customHeight="1">
      <x:c r="A75" s="9" t="str">
        <x:v>challenger_nfci</x:v>
      </x:c>
      <x:c r="B75" s="9" t="str">
        <x:v>challenger_stress</x:v>
      </x:c>
      <x:c r="C75" s="9" t="n">
        <x:v>4957</x:v>
      </x:c>
      <x:c r="D75" s="13" t="str">
        <x:v>2006-08-24</x:v>
      </x:c>
      <x:c r="E75" s="13" t="str">
        <x:v>2026-08-14</x:v>
      </x:c>
      <x:c r="F75" s="9" t="n">
        <x:v>-0.555</x:v>
      </x:c>
      <x:c r="G75" s="9" t="n">
        <x:v>-0.487</x:v>
      </x:c>
      <x:c r="H75" s="9" t="n">
        <x:v>-0.578</x:v>
      </x:c>
      <x:c r="I75" s="9" t="n">
        <x:v>-0.299</x:v>
      </x:c>
    </x:row>
    <x:row r="76" ht="15" hidden="0" customHeight="1">
      <x:c r="A76" s="9" t="str">
        <x:v>challenger_nfci_age_sessions</x:v>
      </x:c>
      <x:c r="B76" s="9" t="str">
        <x:v>challenger_stress</x:v>
      </x:c>
      <x:c r="C76" s="9" t="n">
        <x:v>4957</x:v>
      </x:c>
      <x:c r="D76" s="13" t="str">
        <x:v>2006-08-24</x:v>
      </x:c>
      <x:c r="E76" s="13" t="str">
        <x:v>2026-08-14</x:v>
      </x:c>
      <x:c r="F76" s="9" t="n">
        <x:v>4</x:v>
      </x:c>
      <x:c r="G76" s="9" t="n">
        <x:v>2</x:v>
      </x:c>
      <x:c r="H76" s="9" t="n">
        <x:v>1</x:v>
      </x:c>
      <x:c r="I76" s="9" t="n">
        <x:v>3</x:v>
      </x:c>
    </x:row>
    <x:row r="77" ht="15" hidden="0" customHeight="1">
      <x:c r="A77" s="9" t="str">
        <x:v>challenger_cftc_asset_manager_net</x:v>
      </x:c>
      <x:c r="B77" s="9" t="str">
        <x:v>challenger_positioning</x:v>
      </x:c>
      <x:c r="C77" s="9" t="n">
        <x:v>3984</x:v>
      </x:c>
      <x:c r="D77" s="13" t="str">
        <x:v>2010-07-27</x:v>
      </x:c>
      <x:c r="E77" s="13" t="str">
        <x:v>2026-08-14</x:v>
      </x:c>
      <x:c r="F77" s="9" t="n">
        <x:v>0.14589265555761488</x:v>
      </x:c>
      <x:c r="G77" s="9" t="n">
        <x:v>0.18268684682257455</x:v>
      </x:c>
      <x:c r="H77" s="9" t="n">
        <x:v>0.0793704648184833</x:v>
      </x:c>
      <x:c r="I77" s="9" t="n">
        <x:v>0.2663098420155146</x:v>
      </x:c>
    </x:row>
    <x:row r="78" ht="15" hidden="0" customHeight="1">
      <x:c r="A78" s="9" t="str">
        <x:v>challenger_cftc_asset_manager_net_age_sessions</x:v>
      </x:c>
      <x:c r="B78" s="9" t="str">
        <x:v>challenger_positioning</x:v>
      </x:c>
      <x:c r="C78" s="9" t="n">
        <x:v>3984</x:v>
      </x:c>
      <x:c r="D78" s="13" t="str">
        <x:v>2010-07-27</x:v>
      </x:c>
      <x:c r="E78" s="13" t="str">
        <x:v>2026-08-14</x:v>
      </x:c>
      <x:c r="F78" s="9" t="n">
        <x:v>3</x:v>
      </x:c>
      <x:c r="G78" s="9" t="n">
        <x:v>2</x:v>
      </x:c>
      <x:c r="H78" s="9" t="n">
        <x:v>1</x:v>
      </x:c>
      <x:c r="I78" s="9" t="n">
        <x:v>3</x:v>
      </x:c>
    </x:row>
    <x:row r="79" ht="15" hidden="0" customHeight="1">
      <x:c r="A79" s="9" t="str">
        <x:v>challenger_cftc_leveraged_net</x:v>
      </x:c>
      <x:c r="B79" s="9" t="str">
        <x:v>challenger_positioning</x:v>
      </x:c>
      <x:c r="C79" s="9" t="n">
        <x:v>3984</x:v>
      </x:c>
      <x:c r="D79" s="13" t="str">
        <x:v>2010-07-27</x:v>
      </x:c>
      <x:c r="E79" s="13" t="str">
        <x:v>2026-08-14</x:v>
      </x:c>
      <x:c r="F79" s="9" t="n">
        <x:v>-0.423383767754545</x:v>
      </x:c>
      <x:c r="G79" s="9" t="n">
        <x:v>-0.021444265541349657</x:v>
      </x:c>
      <x:c r="H79" s="9" t="n">
        <x:v>-0.11669989064003494</x:v>
      </x:c>
      <x:c r="I79" s="9" t="n">
        <x:v>0.13653183849930386</x:v>
      </x:c>
    </x:row>
    <x:row r="80" ht="15" hidden="0" customHeight="1">
      <x:c r="A80" s="9" t="str">
        <x:v>challenger_cftc_leveraged_net_age_sessions</x:v>
      </x:c>
      <x:c r="B80" s="9" t="str">
        <x:v>challenger_positioning</x:v>
      </x:c>
      <x:c r="C80" s="9" t="n">
        <x:v>3984</x:v>
      </x:c>
      <x:c r="D80" s="13" t="str">
        <x:v>2010-07-27</x:v>
      </x:c>
      <x:c r="E80" s="13" t="str">
        <x:v>2026-08-14</x:v>
      </x:c>
      <x:c r="F80" s="9" t="n">
        <x:v>3</x:v>
      </x:c>
      <x:c r="G80" s="9" t="n">
        <x:v>2</x:v>
      </x:c>
      <x:c r="H80" s="9" t="n">
        <x:v>1</x:v>
      </x:c>
      <x:c r="I80" s="9" t="n">
        <x:v>3</x:v>
      </x:c>
    </x:row>
    <x:row r="81" ht="15" hidden="0" customHeight="1">
      <x:c r="A81" s="9" t="str">
        <x:v>challenger_finra_notional_log_change</x:v>
      </x:c>
      <x:c r="B81" s="9" t="str">
        <x:v>challenger_positioning</x:v>
      </x:c>
      <x:c r="C81" s="9" t="n">
        <x:v>1143</x:v>
      </x:c>
      <x:c r="D81" s="13" t="str">
        <x:v>2022-01-12</x:v>
      </x:c>
      <x:c r="E81" s="13" t="str">
        <x:v>2026-08-14</x:v>
      </x:c>
      <x:c r="F81" s="9" t="n">
        <x:v>0</x:v>
      </x:c>
      <x:c r="G81" s="9" t="n">
        <x:v>0</x:v>
      </x:c>
      <x:c r="H81" s="9" t="n">
        <x:v>0</x:v>
      </x:c>
      <x:c r="I81" s="9" t="n">
        <x:v>0</x:v>
      </x:c>
    </x:row>
    <x:row r="82" ht="15" hidden="0" customHeight="1">
      <x:c r="A82" s="9" t="str">
        <x:v>challenger_finra_notional_log_change_age_sessions</x:v>
      </x:c>
      <x:c r="B82" s="9" t="str">
        <x:v>challenger_positioning</x:v>
      </x:c>
      <x:c r="C82" s="9" t="n">
        <x:v>1144</x:v>
      </x:c>
      <x:c r="D82" s="13" t="str">
        <x:v>2022-01-11</x:v>
      </x:c>
      <x:c r="E82" s="13" t="str">
        <x:v>2026-08-14</x:v>
      </x:c>
      <x:c r="F82" s="9" t="n">
        <x:v>3</x:v>
      </x:c>
      <x:c r="G82" s="9" t="n">
        <x:v>2</x:v>
      </x:c>
      <x:c r="H82" s="9" t="n">
        <x:v>1</x:v>
      </x:c>
      <x:c r="I82" s="9" t="n">
        <x:v>3</x:v>
      </x:c>
    </x:row>
    <x:row r="83" ht="15" hidden="0" customHeight="1">
      <x:c r="A83" s="9" t="str">
        <x:v>challenger_finra_trades_log_change</x:v>
      </x:c>
      <x:c r="B83" s="9" t="str">
        <x:v>challenger_positioning</x:v>
      </x:c>
      <x:c r="C83" s="9" t="n">
        <x:v>1143</x:v>
      </x:c>
      <x:c r="D83" s="13" t="str">
        <x:v>2022-01-12</x:v>
      </x:c>
      <x:c r="E83" s="13" t="str">
        <x:v>2026-08-14</x:v>
      </x:c>
      <x:c r="F83" s="9" t="n">
        <x:v>0</x:v>
      </x:c>
      <x:c r="G83" s="9" t="n">
        <x:v>0</x:v>
      </x:c>
      <x:c r="H83" s="9" t="n">
        <x:v>0</x:v>
      </x:c>
      <x:c r="I83" s="9" t="n">
        <x:v>0</x:v>
      </x:c>
    </x:row>
    <x:row r="84" ht="15" hidden="0" customHeight="1">
      <x:c r="A84" s="9" t="str">
        <x:v>challenger_finra_trades_log_change_age_sessions</x:v>
      </x:c>
      <x:c r="B84" s="9" t="str">
        <x:v>challenger_positioning</x:v>
      </x:c>
      <x:c r="C84" s="9" t="n">
        <x:v>1144</x:v>
      </x:c>
      <x:c r="D84" s="13" t="str">
        <x:v>2022-01-11</x:v>
      </x:c>
      <x:c r="E84" s="13" t="str">
        <x:v>2026-08-14</x:v>
      </x:c>
      <x:c r="F84" s="9" t="n">
        <x:v>3</x:v>
      </x:c>
      <x:c r="G84" s="9" t="n">
        <x:v>2</x:v>
      </x:c>
      <x:c r="H84" s="9" t="n">
        <x:v>1</x:v>
      </x:c>
      <x:c r="I84" s="9" t="n">
        <x:v>3</x:v>
      </x:c>
    </x:row>
    <x:row r="85" ht="15" hidden="0" customHeight="1">
      <x:c r="A85" s="9" t="str">
        <x:v>challenger_spf_unemployment</x:v>
      </x:c>
      <x:c r="B85" s="9" t="str">
        <x:v>challenger_expectations</x:v>
      </x:c>
      <x:c r="C85" s="9" t="n">
        <x:v>4957</x:v>
      </x:c>
      <x:c r="D85" s="13" t="str">
        <x:v>2006-08-24</x:v>
      </x:c>
      <x:c r="E85" s="13" t="str">
        <x:v>2026-08-14</x:v>
      </x:c>
      <x:c r="F85" s="9" t="n">
        <x:v>4.3054</x:v>
      </x:c>
      <x:c r="G85" s="9" t="n">
        <x:v>4.8983</x:v>
      </x:c>
      <x:c r="H85" s="9" t="n">
        <x:v>4.1</x:v>
      </x:c>
      <x:c r="I85" s="9" t="n">
        <x:v>7.3</x:v>
      </x:c>
    </x:row>
    <x:row r="86" ht="15" hidden="0" customHeight="1">
      <x:c r="A86" s="9" t="str">
        <x:v>challenger_spf_unemployment_age_sessions</x:v>
      </x:c>
      <x:c r="B86" s="9" t="str">
        <x:v>challenger_expectations</x:v>
      </x:c>
      <x:c r="C86" s="9" t="n">
        <x:v>4957</x:v>
      </x:c>
      <x:c r="D86" s="13" t="str">
        <x:v>2006-08-24</x:v>
      </x:c>
      <x:c r="E86" s="13" t="str">
        <x:v>2026-08-14</x:v>
      </x:c>
      <x:c r="F86" s="9" t="n">
        <x:v>9</x:v>
      </x:c>
      <x:c r="G86" s="9" t="n">
        <x:v>31</x:v>
      </x:c>
      <x:c r="H86" s="9" t="n">
        <x:v>15</x:v>
      </x:c>
      <x:c r="I86" s="9" t="n">
        <x:v>46</x:v>
      </x:c>
    </x:row>
    <x:row r="87" ht="15" hidden="0" customHeight="1">
      <x:c r="A87" s="9" t="str">
        <x:v>challenger_spf_cpi</x:v>
      </x:c>
      <x:c r="B87" s="9" t="str">
        <x:v>challenger_expectations</x:v>
      </x:c>
      <x:c r="C87" s="9" t="n">
        <x:v>4957</x:v>
      </x:c>
      <x:c r="D87" s="13" t="str">
        <x:v>2006-08-24</x:v>
      </x:c>
      <x:c r="E87" s="13" t="str">
        <x:v>2026-08-14</x:v>
      </x:c>
      <x:c r="F87" s="9" t="n">
        <x:v>3.6523</x:v>
      </x:c>
      <x:c r="G87" s="9" t="n">
        <x:v>2.5991</x:v>
      </x:c>
      <x:c r="H87" s="9" t="n">
        <x:v>1.4098</x:v>
      </x:c>
      <x:c r="I87" s="9" t="n">
        <x:v>3.7027</x:v>
      </x:c>
    </x:row>
    <x:row r="88" ht="15" hidden="0" customHeight="1">
      <x:c r="A88" s="9" t="str">
        <x:v>challenger_spf_cpi_age_sessions</x:v>
      </x:c>
      <x:c r="B88" s="9" t="str">
        <x:v>challenger_expectations</x:v>
      </x:c>
      <x:c r="C88" s="9" t="n">
        <x:v>4957</x:v>
      </x:c>
      <x:c r="D88" s="13" t="str">
        <x:v>2006-08-24</x:v>
      </x:c>
      <x:c r="E88" s="13" t="str">
        <x:v>2026-08-14</x:v>
      </x:c>
      <x:c r="F88" s="9" t="n">
        <x:v>9</x:v>
      </x:c>
      <x:c r="G88" s="9" t="n">
        <x:v>31</x:v>
      </x:c>
      <x:c r="H88" s="9" t="n">
        <x:v>15</x:v>
      </x:c>
      <x:c r="I88" s="9" t="n">
        <x:v>46</x:v>
      </x:c>
    </x:row>
    <x:row r="89" ht="15" hidden="0" customHeight="1">
      <x:c r="A89" s="9" t="str">
        <x:v>challenger_spf_growth</x:v>
      </x:c>
      <x:c r="B89" s="9" t="str">
        <x:v>challenger_expectations</x:v>
      </x:c>
      <x:c r="C89" s="9" t="n">
        <x:v>4957</x:v>
      </x:c>
      <x:c r="D89" s="13" t="str">
        <x:v>2006-08-24</x:v>
      </x:c>
      <x:c r="E89" s="13" t="str">
        <x:v>2026-08-14</x:v>
      </x:c>
      <x:c r="F89" s="9" t="n">
        <x:v>24174.5016</x:v>
      </x:c>
      <x:c r="G89" s="9" t="n">
        <x:v>16492.7012</x:v>
      </x:c>
      <x:c r="H89" s="9" t="n">
        <x:v>13351.925</x:v>
      </x:c>
      <x:c r="I89" s="9" t="n">
        <x:v>19219.7982</x:v>
      </x:c>
    </x:row>
    <x:row r="90" ht="15" hidden="0" customHeight="1">
      <x:c r="A90" s="9" t="str">
        <x:v>challenger_spf_growth_age_sessions</x:v>
      </x:c>
      <x:c r="B90" s="9" t="str">
        <x:v>challenger_expectations</x:v>
      </x:c>
      <x:c r="C90" s="9" t="n">
        <x:v>4957</x:v>
      </x:c>
      <x:c r="D90" s="13" t="str">
        <x:v>2006-08-24</x:v>
      </x:c>
      <x:c r="E90" s="13" t="str">
        <x:v>2026-08-14</x:v>
      </x:c>
      <x:c r="F90" s="9" t="n">
        <x:v>9</x:v>
      </x:c>
      <x:c r="G90" s="9" t="n">
        <x:v>31</x:v>
      </x:c>
      <x:c r="H90" s="9" t="n">
        <x:v>15</x:v>
      </x:c>
      <x:c r="I90" s="9" t="n">
        <x:v>46</x:v>
      </x:c>
    </x:row>
    <x:row r="91" ht="15" hidden="0" customHeight="1">
      <x:c r="A91" s="9" t="str">
        <x:v>challenger_walcl_log_change</x:v>
      </x:c>
      <x:c r="B91" s="9" t="str">
        <x:v>challenger_liquidity</x:v>
      </x:c>
      <x:c r="C91" s="9" t="n">
        <x:v>4956</x:v>
      </x:c>
      <x:c r="D91" s="13" t="str">
        <x:v>2006-08-25</x:v>
      </x:c>
      <x:c r="E91" s="13" t="str">
        <x:v>2026-08-14</x:v>
      </x:c>
      <x:c r="F91" s="9" t="n">
        <x:v>0</x:v>
      </x:c>
      <x:c r="G91" s="9" t="n">
        <x:v>0</x:v>
      </x:c>
      <x:c r="H91" s="9" t="n">
        <x:v>0</x:v>
      </x:c>
      <x:c r="I91" s="9" t="n">
        <x:v>0</x:v>
      </x:c>
    </x:row>
    <x:row r="92" ht="15" hidden="0" customHeight="1">
      <x:c r="A92" s="9" t="str">
        <x:v>challenger_walcl_log_change_age_sessions</x:v>
      </x:c>
      <x:c r="B92" s="9" t="str">
        <x:v>challenger_liquidity</x:v>
      </x:c>
      <x:c r="C92" s="9" t="n">
        <x:v>4957</x:v>
      </x:c>
      <x:c r="D92" s="13" t="str">
        <x:v>2006-08-24</x:v>
      </x:c>
      <x:c r="E92" s="13" t="str">
        <x:v>2026-08-14</x:v>
      </x:c>
      <x:c r="F92" s="9" t="n">
        <x:v>1</x:v>
      </x:c>
      <x:c r="G92" s="9" t="n">
        <x:v>2</x:v>
      </x:c>
      <x:c r="H92" s="9" t="n">
        <x:v>1</x:v>
      </x:c>
      <x:c r="I92" s="9" t="n">
        <x:v>3</x:v>
      </x:c>
    </x:row>
    <x:row r="93" ht="15" hidden="0" customHeight="1">
      <x:c r="A93" s="9" t="str">
        <x:v>challenger_tga_log_change</x:v>
      </x:c>
      <x:c r="B93" s="9" t="str">
        <x:v>challenger_liquidity</x:v>
      </x:c>
      <x:c r="C93" s="9" t="n">
        <x:v>4956</x:v>
      </x:c>
      <x:c r="D93" s="13" t="str">
        <x:v>2006-08-25</x:v>
      </x:c>
      <x:c r="E93" s="13" t="str">
        <x:v>2026-08-14</x:v>
      </x:c>
      <x:c r="F93" s="9" t="n">
        <x:v>0</x:v>
      </x:c>
      <x:c r="G93" s="9" t="n">
        <x:v>0</x:v>
      </x:c>
      <x:c r="H93" s="9" t="n">
        <x:v>0</x:v>
      </x:c>
      <x:c r="I93" s="9" t="n">
        <x:v>0</x:v>
      </x:c>
    </x:row>
    <x:row r="94" ht="15" hidden="0" customHeight="1">
      <x:c r="A94" s="9" t="str">
        <x:v>challenger_tga_log_change_age_sessions</x:v>
      </x:c>
      <x:c r="B94" s="9" t="str">
        <x:v>challenger_liquidity</x:v>
      </x:c>
      <x:c r="C94" s="9" t="n">
        <x:v>4957</x:v>
      </x:c>
      <x:c r="D94" s="13" t="str">
        <x:v>2006-08-24</x:v>
      </x:c>
      <x:c r="E94" s="13" t="str">
        <x:v>2026-08-14</x:v>
      </x:c>
      <x:c r="F94" s="9" t="n">
        <x:v>1</x:v>
      </x:c>
      <x:c r="G94" s="9" t="n">
        <x:v>2</x:v>
      </x:c>
      <x:c r="H94" s="9" t="n">
        <x:v>1</x:v>
      </x:c>
      <x:c r="I94" s="9" t="n">
        <x:v>3</x:v>
      </x:c>
    </x:row>
    <x:row r="95" ht="15" hidden="0" customHeight="1">
      <x:c r="A95" s="9" t="str">
        <x:v>challenger_rrp_log1p_change</x:v>
      </x:c>
      <x:c r="B95" s="9" t="str">
        <x:v>challenger_liquidity</x:v>
      </x:c>
      <x:c r="C95" s="9" t="n">
        <x:v>4789</x:v>
      </x:c>
      <x:c r="D95" s="13" t="str">
        <x:v>2007-04-30</x:v>
      </x:c>
      <x:c r="E95" s="13" t="str">
        <x:v>2026-08-14</x:v>
      </x:c>
      <x:c r="F95" s="9" t="n">
        <x:v>-0.17366349405083992</x:v>
      </x:c>
      <x:c r="G95" s="9" t="n">
        <x:v>0</x:v>
      </x:c>
      <x:c r="H95" s="9" t="n">
        <x:v>-0.018579652211896835</x:v>
      </x:c>
      <x:c r="I95" s="9" t="n">
        <x:v>0.025651155108592505</x:v>
      </x:c>
    </x:row>
    <x:row r="96" ht="15" hidden="0" customHeight="1">
      <x:c r="A96" s="9" t="str">
        <x:v>challenger_rrp_log1p_change_age_sessions</x:v>
      </x:c>
      <x:c r="B96" s="9" t="str">
        <x:v>challenger_liquidity</x:v>
      </x:c>
      <x:c r="C96" s="9" t="n">
        <x:v>4790</x:v>
      </x:c>
      <x:c r="D96" s="13" t="str">
        <x:v>2007-04-27</x:v>
      </x:c>
      <x:c r="E96" s="13" t="str">
        <x:v>2026-08-14</x:v>
      </x:c>
      <x:c r="F96" s="9" t="n">
        <x:v>0</x:v>
      </x:c>
      <x:c r="G96" s="9" t="n">
        <x:v>0</x:v>
      </x:c>
      <x:c r="H96" s="9" t="n">
        <x:v>0</x:v>
      </x:c>
      <x:c r="I96" s="9" t="n">
        <x:v>22</x:v>
      </x:c>
    </x:row>
    <x:row r="97" ht="15" hidden="0" customHeight="1">
      <x:c r="A97" s="9" t="str">
        <x:v>challenger_ff_market_return</x:v>
      </x:c>
      <x:c r="B97" s="9" t="str">
        <x:v>challenger_academic</x:v>
      </x:c>
      <x:c r="C97" s="9" t="n">
        <x:v>4957</x:v>
      </x:c>
      <x:c r="D97" s="13" t="str">
        <x:v>2006-08-24</x:v>
      </x:c>
      <x:c r="E97" s="13" t="str">
        <x:v>2026-08-14</x:v>
      </x:c>
      <x:c r="F97" s="9" t="n">
        <x:v>0.0073</x:v>
      </x:c>
      <x:c r="G97" s="9" t="n">
        <x:v>0.0008</x:v>
      </x:c>
      <x:c r="H97" s="9" t="n">
        <x:v>-0.0042</x:v>
      </x:c>
      <x:c r="I97" s="9" t="n">
        <x:v>0.0063</x:v>
      </x:c>
    </x:row>
    <x:row r="98" ht="15" hidden="0" customHeight="1">
      <x:c r="A98" s="9" t="str">
        <x:v>challenger_ff_market_return_age_sessions</x:v>
      </x:c>
      <x:c r="B98" s="9" t="str">
        <x:v>challenger_academic</x:v>
      </x:c>
      <x:c r="C98" s="9" t="n">
        <x:v>4957</x:v>
      </x:c>
      <x:c r="D98" s="13" t="str">
        <x:v>2006-08-24</x:v>
      </x:c>
      <x:c r="E98" s="13" t="str">
        <x:v>2026-08-14</x:v>
      </x:c>
      <x:c r="F98" s="9" t="n">
        <x:v>31</x:v>
      </x:c>
      <x:c r="G98" s="9" t="n">
        <x:v>0</x:v>
      </x:c>
      <x:c r="H98" s="9" t="n">
        <x:v>0</x:v>
      </x:c>
      <x:c r="I98" s="9" t="n">
        <x:v>0</x:v>
      </x:c>
    </x:row>
    <x:row r="99" ht="15" hidden="0" customHeight="1">
      <x:c r="A99" s="9" t="str">
        <x:v>challenger_ff_size_return</x:v>
      </x:c>
      <x:c r="B99" s="9" t="str">
        <x:v>challenger_academic</x:v>
      </x:c>
      <x:c r="C99" s="9" t="n">
        <x:v>4957</x:v>
      </x:c>
      <x:c r="D99" s="13" t="str">
        <x:v>2006-08-24</x:v>
      </x:c>
      <x:c r="E99" s="13" t="str">
        <x:v>2026-08-14</x:v>
      </x:c>
      <x:c r="F99" s="9" t="n">
        <x:v>0.001</x:v>
      </x:c>
      <x:c r="G99" s="9" t="n">
        <x:v>-0.0001</x:v>
      </x:c>
      <x:c r="H99" s="9" t="n">
        <x:v>-0.0038</x:v>
      </x:c>
      <x:c r="I99" s="9" t="n">
        <x:v>0.0034999999999999996</x:v>
      </x:c>
    </x:row>
    <x:row r="100" ht="15" hidden="0" customHeight="1">
      <x:c r="A100" s="9" t="str">
        <x:v>challenger_ff_size_return_age_sessions</x:v>
      </x:c>
      <x:c r="B100" s="9" t="str">
        <x:v>challenger_academic</x:v>
      </x:c>
      <x:c r="C100" s="9" t="n">
        <x:v>4957</x:v>
      </x:c>
      <x:c r="D100" s="13" t="str">
        <x:v>2006-08-24</x:v>
      </x:c>
      <x:c r="E100" s="13" t="str">
        <x:v>2026-08-14</x:v>
      </x:c>
      <x:c r="F100" s="9" t="n">
        <x:v>31</x:v>
      </x:c>
      <x:c r="G100" s="9" t="n">
        <x:v>0</x:v>
      </x:c>
      <x:c r="H100" s="9" t="n">
        <x:v>0</x:v>
      </x:c>
      <x:c r="I100" s="9" t="n">
        <x:v>0</x:v>
      </x:c>
    </x:row>
    <x:row r="101" ht="15" hidden="0" customHeight="1">
      <x:c r="A101" s="9" t="str">
        <x:v>challenger_ff_value_return</x:v>
      </x:c>
      <x:c r="B101" s="9" t="str">
        <x:v>challenger_academic</x:v>
      </x:c>
      <x:c r="C101" s="9" t="n">
        <x:v>4957</x:v>
      </x:c>
      <x:c r="D101" s="13" t="str">
        <x:v>2006-08-24</x:v>
      </x:c>
      <x:c r="E101" s="13" t="str">
        <x:v>2026-08-14</x:v>
      </x:c>
      <x:c r="F101" s="9" t="n">
        <x:v>-0.0062</x:v>
      </x:c>
      <x:c r="G101" s="9" t="n">
        <x:v>-0.0003</x:v>
      </x:c>
      <x:c r="H101" s="9" t="n">
        <x:v>-0.0039000000000000003</x:v>
      </x:c>
      <x:c r="I101" s="9" t="n">
        <x:v>0.0034999999999999996</x:v>
      </x:c>
    </x:row>
    <x:row r="102" ht="15" hidden="0" customHeight="1">
      <x:c r="A102" s="9" t="str">
        <x:v>challenger_ff_value_return_age_sessions</x:v>
      </x:c>
      <x:c r="B102" s="9" t="str">
        <x:v>challenger_academic</x:v>
      </x:c>
      <x:c r="C102" s="9" t="n">
        <x:v>4957</x:v>
      </x:c>
      <x:c r="D102" s="13" t="str">
        <x:v>2006-08-24</x:v>
      </x:c>
      <x:c r="E102" s="13" t="str">
        <x:v>2026-08-14</x:v>
      </x:c>
      <x:c r="F102" s="9" t="n">
        <x:v>31</x:v>
      </x:c>
      <x:c r="G102" s="9" t="n">
        <x:v>0</x:v>
      </x:c>
      <x:c r="H102" s="9" t="n">
        <x:v>0</x:v>
      </x:c>
      <x:c r="I102" s="9" t="n">
        <x:v>0</x:v>
      </x:c>
    </x:row>
    <x:row r="103" ht="15" hidden="0" customHeight="1">
      <x:c r="A103" s="9" t="str">
        <x:v>trend_21__missing</x:v>
      </x:c>
      <x:c r="B103" s="9" t="str">
        <x:v>base_or_missing_indicator</x:v>
      </x:c>
      <x:c r="C103" s="9" t="n">
        <x:v>7131</x:v>
      </x:c>
      <x:c r="D103" s="13" t="str">
        <x:v>1997-02-19</x:v>
      </x:c>
      <x:c r="E103" s="13" t="str">
        <x:v>2026-08-14</x:v>
      </x:c>
      <x:c r="F103" s="9" t="n">
        <x:v>0</x:v>
      </x:c>
      <x:c r="G103" s="9" t="n">
        <x:v>0</x:v>
      </x:c>
      <x:c r="H103" s="9" t="n">
        <x:v>0</x:v>
      </x:c>
      <x:c r="I103" s="9" t="n">
        <x:v>0</x:v>
      </x:c>
    </x:row>
    <x:row r="104" ht="15" hidden="0" customHeight="1">
      <x:c r="A104" s="9" t="str">
        <x:v>trend_63__missing</x:v>
      </x:c>
      <x:c r="B104" s="9" t="str">
        <x:v>base_or_missing_indicator</x:v>
      </x:c>
      <x:c r="C104" s="9" t="n">
        <x:v>7131</x:v>
      </x:c>
      <x:c r="D104" s="13" t="str">
        <x:v>1997-02-19</x:v>
      </x:c>
      <x:c r="E104" s="13" t="str">
        <x:v>2026-08-14</x:v>
      </x:c>
      <x:c r="F104" s="9" t="n">
        <x:v>0</x:v>
      </x:c>
      <x:c r="G104" s="9" t="n">
        <x:v>0</x:v>
      </x:c>
      <x:c r="H104" s="9" t="n">
        <x:v>0</x:v>
      </x:c>
      <x:c r="I104" s="9" t="n">
        <x:v>0</x:v>
      </x:c>
    </x:row>
    <x:row r="105" ht="15" hidden="0" customHeight="1">
      <x:c r="A105" s="9" t="str">
        <x:v>trend_126__missing</x:v>
      </x:c>
      <x:c r="B105" s="9" t="str">
        <x:v>base_or_missing_indicator</x:v>
      </x:c>
      <x:c r="C105" s="9" t="n">
        <x:v>7131</x:v>
      </x:c>
      <x:c r="D105" s="13" t="str">
        <x:v>1997-02-19</x:v>
      </x:c>
      <x:c r="E105" s="13" t="str">
        <x:v>2026-08-14</x:v>
      </x:c>
      <x:c r="F105" s="9" t="n">
        <x:v>0</x:v>
      </x:c>
      <x:c r="G105" s="9" t="n">
        <x:v>0</x:v>
      </x:c>
      <x:c r="H105" s="9" t="n">
        <x:v>0</x:v>
      </x:c>
      <x:c r="I105" s="9" t="n">
        <x:v>0</x:v>
      </x:c>
    </x:row>
    <x:row r="106" ht="15" hidden="0" customHeight="1">
      <x:c r="A106" s="9" t="str">
        <x:v>drawdown_21__missing</x:v>
      </x:c>
      <x:c r="B106" s="9" t="str">
        <x:v>base_or_missing_indicator</x:v>
      </x:c>
      <x:c r="C106" s="9" t="n">
        <x:v>7131</x:v>
      </x:c>
      <x:c r="D106" s="13" t="str">
        <x:v>1997-02-19</x:v>
      </x:c>
      <x:c r="E106" s="13" t="str">
        <x:v>2026-08-14</x:v>
      </x:c>
      <x:c r="F106" s="9" t="n">
        <x:v>0</x:v>
      </x:c>
      <x:c r="G106" s="9" t="n">
        <x:v>0</x:v>
      </x:c>
      <x:c r="H106" s="9" t="n">
        <x:v>0</x:v>
      </x:c>
      <x:c r="I106" s="9" t="n">
        <x:v>0</x:v>
      </x:c>
    </x:row>
    <x:row r="107" ht="15" hidden="0" customHeight="1">
      <x:c r="A107" s="9" t="str">
        <x:v>drawdown_63__missing</x:v>
      </x:c>
      <x:c r="B107" s="9" t="str">
        <x:v>base_or_missing_indicator</x:v>
      </x:c>
      <x:c r="C107" s="9" t="n">
        <x:v>7131</x:v>
      </x:c>
      <x:c r="D107" s="13" t="str">
        <x:v>1997-02-19</x:v>
      </x:c>
      <x:c r="E107" s="13" t="str">
        <x:v>2026-08-14</x:v>
      </x:c>
      <x:c r="F107" s="9" t="n">
        <x:v>0</x:v>
      </x:c>
      <x:c r="G107" s="9" t="n">
        <x:v>0</x:v>
      </x:c>
      <x:c r="H107" s="9" t="n">
        <x:v>0</x:v>
      </x:c>
      <x:c r="I107" s="9" t="n">
        <x:v>0</x:v>
      </x:c>
    </x:row>
    <x:row r="108" ht="15" hidden="0" customHeight="1">
      <x:c r="A108" s="9" t="str">
        <x:v>drawdown_252__missing</x:v>
      </x:c>
      <x:c r="B108" s="9" t="str">
        <x:v>base_or_missing_indicator</x:v>
      </x:c>
      <x:c r="C108" s="9" t="n">
        <x:v>7131</x:v>
      </x:c>
      <x:c r="D108" s="13" t="str">
        <x:v>1997-02-19</x:v>
      </x:c>
      <x:c r="E108" s="13" t="str">
        <x:v>2026-08-14</x:v>
      </x:c>
      <x:c r="F108" s="9" t="n">
        <x:v>0</x:v>
      </x:c>
      <x:c r="G108" s="9" t="n">
        <x:v>0</x:v>
      </x:c>
      <x:c r="H108" s="9" t="n">
        <x:v>0</x:v>
      </x:c>
      <x:c r="I108" s="9" t="n">
        <x:v>0</x:v>
      </x:c>
    </x:row>
    <x:row r="109" ht="15" hidden="0" customHeight="1">
      <x:c r="A109" s="9" t="str">
        <x:v>realized_vol_5__missing</x:v>
      </x:c>
      <x:c r="B109" s="9" t="str">
        <x:v>base_or_missing_indicator</x:v>
      </x:c>
      <x:c r="C109" s="9" t="n">
        <x:v>7131</x:v>
      </x:c>
      <x:c r="D109" s="13" t="str">
        <x:v>1997-02-19</x:v>
      </x:c>
      <x:c r="E109" s="13" t="str">
        <x:v>2026-08-14</x:v>
      </x:c>
      <x:c r="F109" s="9" t="n">
        <x:v>0</x:v>
      </x:c>
      <x:c r="G109" s="9" t="n">
        <x:v>0</x:v>
      </x:c>
      <x:c r="H109" s="9" t="n">
        <x:v>0</x:v>
      </x:c>
      <x:c r="I109" s="9" t="n">
        <x:v>0</x:v>
      </x:c>
    </x:row>
    <x:row r="110" ht="15" hidden="0" customHeight="1">
      <x:c r="A110" s="9" t="str">
        <x:v>realized_vol_21__missing</x:v>
      </x:c>
      <x:c r="B110" s="9" t="str">
        <x:v>base_or_missing_indicator</x:v>
      </x:c>
      <x:c r="C110" s="9" t="n">
        <x:v>7131</x:v>
      </x:c>
      <x:c r="D110" s="13" t="str">
        <x:v>1997-02-19</x:v>
      </x:c>
      <x:c r="E110" s="13" t="str">
        <x:v>2026-08-14</x:v>
      </x:c>
      <x:c r="F110" s="9" t="n">
        <x:v>0</x:v>
      </x:c>
      <x:c r="G110" s="9" t="n">
        <x:v>0</x:v>
      </x:c>
      <x:c r="H110" s="9" t="n">
        <x:v>0</x:v>
      </x:c>
      <x:c r="I110" s="9" t="n">
        <x:v>0</x:v>
      </x:c>
    </x:row>
    <x:row r="111" ht="15" hidden="0" customHeight="1">
      <x:c r="A111" s="9" t="str">
        <x:v>realized_vol_63__missing</x:v>
      </x:c>
      <x:c r="B111" s="9" t="str">
        <x:v>base_or_missing_indicator</x:v>
      </x:c>
      <x:c r="C111" s="9" t="n">
        <x:v>7131</x:v>
      </x:c>
      <x:c r="D111" s="13" t="str">
        <x:v>1997-02-19</x:v>
      </x:c>
      <x:c r="E111" s="13" t="str">
        <x:v>2026-08-14</x:v>
      </x:c>
      <x:c r="F111" s="9" t="n">
        <x:v>0</x:v>
      </x:c>
      <x:c r="G111" s="9" t="n">
        <x:v>0</x:v>
      </x:c>
      <x:c r="H111" s="9" t="n">
        <x:v>0</x:v>
      </x:c>
      <x:c r="I111" s="9" t="n">
        <x:v>0</x:v>
      </x:c>
    </x:row>
    <x:row r="112" ht="15" hidden="0" customHeight="1">
      <x:c r="A112" s="9" t="str">
        <x:v>downside_semivariance_21__missing</x:v>
      </x:c>
      <x:c r="B112" s="9" t="str">
        <x:v>base_or_missing_indicator</x:v>
      </x:c>
      <x:c r="C112" s="9" t="n">
        <x:v>7131</x:v>
      </x:c>
      <x:c r="D112" s="13" t="str">
        <x:v>1997-02-19</x:v>
      </x:c>
      <x:c r="E112" s="13" t="str">
        <x:v>2026-08-14</x:v>
      </x:c>
      <x:c r="F112" s="9" t="n">
        <x:v>0</x:v>
      </x:c>
      <x:c r="G112" s="9" t="n">
        <x:v>0</x:v>
      </x:c>
      <x:c r="H112" s="9" t="n">
        <x:v>0</x:v>
      </x:c>
      <x:c r="I112" s="9" t="n">
        <x:v>0</x:v>
      </x:c>
    </x:row>
    <x:row r="113" ht="15" hidden="0" customHeight="1">
      <x:c r="A113" s="9" t="str">
        <x:v>vol_of_vol_21__missing</x:v>
      </x:c>
      <x:c r="B113" s="9" t="str">
        <x:v>base_or_missing_indicator</x:v>
      </x:c>
      <x:c r="C113" s="9" t="n">
        <x:v>7131</x:v>
      </x:c>
      <x:c r="D113" s="13" t="str">
        <x:v>1997-02-19</x:v>
      </x:c>
      <x:c r="E113" s="13" t="str">
        <x:v>2026-08-14</x:v>
      </x:c>
      <x:c r="F113" s="9" t="n">
        <x:v>0</x:v>
      </x:c>
      <x:c r="G113" s="9" t="n">
        <x:v>0</x:v>
      </x:c>
      <x:c r="H113" s="9" t="n">
        <x:v>0</x:v>
      </x:c>
      <x:c r="I113" s="9" t="n">
        <x:v>0</x:v>
      </x:c>
    </x:row>
    <x:row r="114" ht="15" hidden="0" customHeight="1">
      <x:c r="A114" s="9" t="str">
        <x:v>momentum_5d__missing</x:v>
      </x:c>
      <x:c r="B114" s="9" t="str">
        <x:v>base_or_missing_indicator</x:v>
      </x:c>
      <x:c r="C114" s="9" t="n">
        <x:v>7131</x:v>
      </x:c>
      <x:c r="D114" s="13" t="str">
        <x:v>1997-02-19</x:v>
      </x:c>
      <x:c r="E114" s="13" t="str">
        <x:v>2026-08-14</x:v>
      </x:c>
      <x:c r="F114" s="9" t="n">
        <x:v>0</x:v>
      </x:c>
      <x:c r="G114" s="9" t="n">
        <x:v>0</x:v>
      </x:c>
      <x:c r="H114" s="9" t="n">
        <x:v>0</x:v>
      </x:c>
      <x:c r="I114" s="9" t="n">
        <x:v>0</x:v>
      </x:c>
    </x:row>
    <x:row r="115" ht="15" hidden="0" customHeight="1">
      <x:c r="A115" s="9" t="str">
        <x:v>momentum_21d__missing</x:v>
      </x:c>
      <x:c r="B115" s="9" t="str">
        <x:v>base_or_missing_indicator</x:v>
      </x:c>
      <x:c r="C115" s="9" t="n">
        <x:v>7131</x:v>
      </x:c>
      <x:c r="D115" s="13" t="str">
        <x:v>1997-02-19</x:v>
      </x:c>
      <x:c r="E115" s="13" t="str">
        <x:v>2026-08-14</x:v>
      </x:c>
      <x:c r="F115" s="9" t="n">
        <x:v>0</x:v>
      </x:c>
      <x:c r="G115" s="9" t="n">
        <x:v>0</x:v>
      </x:c>
      <x:c r="H115" s="9" t="n">
        <x:v>0</x:v>
      </x:c>
      <x:c r="I115" s="9" t="n">
        <x:v>0</x:v>
      </x:c>
    </x:row>
    <x:row r="116" ht="15" hidden="0" customHeight="1">
      <x:c r="A116" s="9" t="str">
        <x:v>momentum_63d__missing</x:v>
      </x:c>
      <x:c r="B116" s="9" t="str">
        <x:v>base_or_missing_indicator</x:v>
      </x:c>
      <x:c r="C116" s="9" t="n">
        <x:v>7131</x:v>
      </x:c>
      <x:c r="D116" s="13" t="str">
        <x:v>1997-02-19</x:v>
      </x:c>
      <x:c r="E116" s="13" t="str">
        <x:v>2026-08-14</x:v>
      </x:c>
      <x:c r="F116" s="9" t="n">
        <x:v>0</x:v>
      </x:c>
      <x:c r="G116" s="9" t="n">
        <x:v>0</x:v>
      </x:c>
      <x:c r="H116" s="9" t="n">
        <x:v>0</x:v>
      </x:c>
      <x:c r="I116" s="9" t="n">
        <x:v>0</x:v>
      </x:c>
    </x:row>
    <x:row r="117" ht="15" hidden="0" customHeight="1">
      <x:c r="A117" s="9" t="str">
        <x:v>realized_volatility_21d__missing</x:v>
      </x:c>
      <x:c r="B117" s="9" t="str">
        <x:v>base_or_missing_indicator</x:v>
      </x:c>
      <x:c r="C117" s="9" t="n">
        <x:v>7131</x:v>
      </x:c>
      <x:c r="D117" s="13" t="str">
        <x:v>1997-02-19</x:v>
      </x:c>
      <x:c r="E117" s="13" t="str">
        <x:v>2026-08-14</x:v>
      </x:c>
      <x:c r="F117" s="9" t="n">
        <x:v>0</x:v>
      </x:c>
      <x:c r="G117" s="9" t="n">
        <x:v>0</x:v>
      </x:c>
      <x:c r="H117" s="9" t="n">
        <x:v>0</x:v>
      </x:c>
      <x:c r="I117" s="9" t="n">
        <x:v>0</x:v>
      </x:c>
    </x:row>
    <x:row r="118" ht="15" hidden="0" customHeight="1">
      <x:c r="A118" s="9" t="str">
        <x:v>realized_volatility_63d__missing</x:v>
      </x:c>
      <x:c r="B118" s="9" t="str">
        <x:v>base_or_missing_indicator</x:v>
      </x:c>
      <x:c r="C118" s="9" t="n">
        <x:v>7131</x:v>
      </x:c>
      <x:c r="D118" s="13" t="str">
        <x:v>1997-02-19</x:v>
      </x:c>
      <x:c r="E118" s="13" t="str">
        <x:v>2026-08-14</x:v>
      </x:c>
      <x:c r="F118" s="9" t="n">
        <x:v>0</x:v>
      </x:c>
      <x:c r="G118" s="9" t="n">
        <x:v>0</x:v>
      </x:c>
      <x:c r="H118" s="9" t="n">
        <x:v>0</x:v>
      </x:c>
      <x:c r="I118" s="9" t="n">
        <x:v>0</x:v>
      </x:c>
    </x:row>
    <x:row r="119" ht="15" hidden="0" customHeight="1">
      <x:c r="A119" s="9" t="str">
        <x:v>downside_semivariance_21d__missing</x:v>
      </x:c>
      <x:c r="B119" s="9" t="str">
        <x:v>base_or_missing_indicator</x:v>
      </x:c>
      <x:c r="C119" s="9" t="n">
        <x:v>7131</x:v>
      </x:c>
      <x:c r="D119" s="13" t="str">
        <x:v>1997-02-19</x:v>
      </x:c>
      <x:c r="E119" s="13" t="str">
        <x:v>2026-08-14</x:v>
      </x:c>
      <x:c r="F119" s="9" t="n">
        <x:v>0</x:v>
      </x:c>
      <x:c r="G119" s="9" t="n">
        <x:v>0</x:v>
      </x:c>
      <x:c r="H119" s="9" t="n">
        <x:v>0</x:v>
      </x:c>
      <x:c r="I119" s="9" t="n">
        <x:v>0</x:v>
      </x:c>
    </x:row>
    <x:row r="120" ht="15" hidden="0" customHeight="1">
      <x:c r="A120" s="9" t="str">
        <x:v>jump_variation_21d__missing</x:v>
      </x:c>
      <x:c r="B120" s="9" t="str">
        <x:v>base_or_missing_indicator</x:v>
      </x:c>
      <x:c r="C120" s="9" t="n">
        <x:v>7131</x:v>
      </x:c>
      <x:c r="D120" s="13" t="str">
        <x:v>1997-02-19</x:v>
      </x:c>
      <x:c r="E120" s="13" t="str">
        <x:v>2026-08-14</x:v>
      </x:c>
      <x:c r="F120" s="9" t="n">
        <x:v>0</x:v>
      </x:c>
      <x:c r="G120" s="9" t="n">
        <x:v>0</x:v>
      </x:c>
      <x:c r="H120" s="9" t="n">
        <x:v>0</x:v>
      </x:c>
      <x:c r="I120" s="9" t="n">
        <x:v>0</x:v>
      </x:c>
    </x:row>
    <x:row r="121" ht="15" hidden="0" customHeight="1">
      <x:c r="A121" s="9" t="str">
        <x:v>term_spread_change_5d__missing</x:v>
      </x:c>
      <x:c r="B121" s="9" t="str">
        <x:v>base_or_missing_indicator</x:v>
      </x:c>
      <x:c r="C121" s="9" t="n">
        <x:v>7131</x:v>
      </x:c>
      <x:c r="D121" s="13" t="str">
        <x:v>1997-02-19</x:v>
      </x:c>
      <x:c r="E121" s="13" t="str">
        <x:v>2026-08-14</x:v>
      </x:c>
      <x:c r="F121" s="9" t="n">
        <x:v>0</x:v>
      </x:c>
      <x:c r="G121" s="9" t="n">
        <x:v>0</x:v>
      </x:c>
      <x:c r="H121" s="9" t="n">
        <x:v>0</x:v>
      </x:c>
      <x:c r="I121" s="9" t="n">
        <x:v>0</x:v>
      </x:c>
    </x:row>
    <x:row r="122" ht="15" hidden="0" customHeight="1">
      <x:c r="A122" s="9" t="str">
        <x:v>dollar_change_5d__missing</x:v>
      </x:c>
      <x:c r="B122" s="9" t="str">
        <x:v>base_or_missing_indicator</x:v>
      </x:c>
      <x:c r="C122" s="9" t="n">
        <x:v>7131</x:v>
      </x:c>
      <x:c r="D122" s="13" t="str">
        <x:v>1997-02-19</x:v>
      </x:c>
      <x:c r="E122" s="13" t="str">
        <x:v>2026-08-14</x:v>
      </x:c>
      <x:c r="F122" s="9" t="n">
        <x:v>0</x:v>
      </x:c>
      <x:c r="G122" s="9" t="n">
        <x:v>0</x:v>
      </x:c>
      <x:c r="H122" s="9" t="n">
        <x:v>0</x:v>
      </x:c>
      <x:c r="I122" s="9" t="n">
        <x:v>0</x:v>
      </x:c>
    </x:row>
    <x:row r="123" ht="15" hidden="0" customHeight="1">
      <x:c r="A123" s="9" t="str">
        <x:v>vix_term_log_slope__missing</x:v>
      </x:c>
      <x:c r="B123" s="9" t="str">
        <x:v>base_or_missing_indicator</x:v>
      </x:c>
      <x:c r="C123" s="9" t="n">
        <x:v>7131</x:v>
      </x:c>
      <x:c r="D123" s="13" t="str">
        <x:v>1997-02-19</x:v>
      </x:c>
      <x:c r="E123" s="13" t="str">
        <x:v>2026-08-14</x:v>
      </x:c>
      <x:c r="F123" s="9" t="n">
        <x:v>0</x:v>
      </x:c>
      <x:c r="G123" s="9" t="n">
        <x:v>0</x:v>
      </x:c>
      <x:c r="H123" s="9" t="n">
        <x:v>0</x:v>
      </x:c>
      <x:c r="I123" s="9" t="n">
        <x:v>1</x:v>
      </x:c>
    </x:row>
    <x:row r="124" ht="15" hidden="0" customHeight="1">
      <x:c r="A124" s="9" t="str">
        <x:v>vvix_log_level__missing</x:v>
      </x:c>
      <x:c r="B124" s="9" t="str">
        <x:v>base_or_missing_indicator</x:v>
      </x:c>
      <x:c r="C124" s="9" t="n">
        <x:v>7131</x:v>
      </x:c>
      <x:c r="D124" s="13" t="str">
        <x:v>1997-02-19</x:v>
      </x:c>
      <x:c r="E124" s="13" t="str">
        <x:v>2026-08-14</x:v>
      </x:c>
      <x:c r="F124" s="9" t="n">
        <x:v>0</x:v>
      </x:c>
      <x:c r="G124" s="9" t="n">
        <x:v>0</x:v>
      </x:c>
      <x:c r="H124" s="9" t="n">
        <x:v>0</x:v>
      </x:c>
      <x:c r="I124" s="9" t="n">
        <x:v>1</x:v>
      </x:c>
    </x:row>
    <x:row r="125" ht="15" hidden="0" customHeight="1">
      <x:c r="A125" s="9" t="str">
        <x:v>off_exchange_share__missing</x:v>
      </x:c>
      <x:c r="B125" s="9" t="str">
        <x:v>base_or_missing_indicator</x:v>
      </x:c>
      <x:c r="C125" s="9" t="n">
        <x:v>7131</x:v>
      </x:c>
      <x:c r="D125" s="13" t="str">
        <x:v>1997-02-19</x:v>
      </x:c>
      <x:c r="E125" s="13" t="str">
        <x:v>2026-08-14</x:v>
      </x:c>
      <x:c r="F125" s="9" t="n">
        <x:v>0</x:v>
      </x:c>
      <x:c r="G125" s="9" t="n">
        <x:v>0</x:v>
      </x:c>
      <x:c r="H125" s="9" t="n">
        <x:v>0</x:v>
      </x:c>
      <x:c r="I125" s="9" t="n">
        <x:v>1</x:v>
      </x:c>
    </x:row>
    <x:row r="126" ht="15" hidden="0" customHeight="1">
      <x:c r="A126" s="9" t="str">
        <x:v>tape_c_share__missing</x:v>
      </x:c>
      <x:c r="B126" s="9" t="str">
        <x:v>base_or_missing_indicator</x:v>
      </x:c>
      <x:c r="C126" s="9" t="n">
        <x:v>7131</x:v>
      </x:c>
      <x:c r="D126" s="13" t="str">
        <x:v>1997-02-19</x:v>
      </x:c>
      <x:c r="E126" s="13" t="str">
        <x:v>2026-08-14</x:v>
      </x:c>
      <x:c r="F126" s="9" t="n">
        <x:v>0</x:v>
      </x:c>
      <x:c r="G126" s="9" t="n">
        <x:v>0</x:v>
      </x:c>
      <x:c r="H126" s="9" t="n">
        <x:v>0</x:v>
      </x:c>
      <x:c r="I126" s="9" t="n">
        <x:v>1</x:v>
      </x:c>
    </x:row>
    <x:row r="127" ht="15" hidden="0" customHeight="1">
      <x:c r="A127" s="9" t="str">
        <x:v>market_notional_log_change__missing</x:v>
      </x:c>
      <x:c r="B127" s="9" t="str">
        <x:v>base_or_missing_indicator</x:v>
      </x:c>
      <x:c r="C127" s="9" t="n">
        <x:v>7131</x:v>
      </x:c>
      <x:c r="D127" s="13" t="str">
        <x:v>1997-02-19</x:v>
      </x:c>
      <x:c r="E127" s="13" t="str">
        <x:v>2026-08-14</x:v>
      </x:c>
      <x:c r="F127" s="9" t="n">
        <x:v>0</x:v>
      </x:c>
      <x:c r="G127" s="9" t="n">
        <x:v>0</x:v>
      </x:c>
      <x:c r="H127" s="9" t="n">
        <x:v>0</x:v>
      </x:c>
      <x:c r="I127" s="9" t="n">
        <x:v>1</x:v>
      </x:c>
    </x:row>
    <x:row r="128" ht="15" hidden="0" customHeight="1">
      <x:c r="A128" s="9" t="str">
        <x:v>market_trade_log_change__missing</x:v>
      </x:c>
      <x:c r="B128" s="9" t="str">
        <x:v>base_or_missing_indicator</x:v>
      </x:c>
      <x:c r="C128" s="9" t="n">
        <x:v>7131</x:v>
      </x:c>
      <x:c r="D128" s="13" t="str">
        <x:v>1997-02-19</x:v>
      </x:c>
      <x:c r="E128" s="13" t="str">
        <x:v>2026-08-14</x:v>
      </x:c>
      <x:c r="F128" s="9" t="n">
        <x:v>0</x:v>
      </x:c>
      <x:c r="G128" s="9" t="n">
        <x:v>0</x:v>
      </x:c>
      <x:c r="H128" s="9" t="n">
        <x:v>0</x:v>
      </x:c>
      <x:c r="I128" s="9" t="n">
        <x:v>1</x:v>
      </x:c>
    </x:row>
    <x:row r="129" ht="15" hidden="0" customHeight="1">
      <x:c r="A129" s="9" t="str">
        <x:v>core_cboe_vix_log_level__missing</x:v>
      </x:c>
      <x:c r="B129" s="9" t="str">
        <x:v>base_or_missing_indicator</x:v>
      </x:c>
      <x:c r="C129" s="9" t="n">
        <x:v>7131</x:v>
      </x:c>
      <x:c r="D129" s="13" t="str">
        <x:v>1997-02-19</x:v>
      </x:c>
      <x:c r="E129" s="13" t="str">
        <x:v>2026-08-14</x:v>
      </x:c>
      <x:c r="F129" s="9" t="n">
        <x:v>0</x:v>
      </x:c>
      <x:c r="G129" s="9" t="n">
        <x:v>0</x:v>
      </x:c>
      <x:c r="H129" s="9" t="n">
        <x:v>0</x:v>
      </x:c>
      <x:c r="I129" s="9" t="n">
        <x:v>1</x:v>
      </x:c>
    </x:row>
    <x:row r="130" ht="15" hidden="0" customHeight="1">
      <x:c r="A130" s="9" t="str">
        <x:v>core_cboe_vix_log_level_age_sessions__missing</x:v>
      </x:c>
      <x:c r="B130" s="9" t="str">
        <x:v>base_or_missing_indicator</x:v>
      </x:c>
      <x:c r="C130" s="9" t="n">
        <x:v>7131</x:v>
      </x:c>
      <x:c r="D130" s="13" t="str">
        <x:v>1997-02-19</x:v>
      </x:c>
      <x:c r="E130" s="13" t="str">
        <x:v>2026-08-14</x:v>
      </x:c>
      <x:c r="F130" s="9" t="n">
        <x:v>0</x:v>
      </x:c>
      <x:c r="G130" s="9" t="n">
        <x:v>0</x:v>
      </x:c>
      <x:c r="H130" s="9" t="n">
        <x:v>0</x:v>
      </x:c>
      <x:c r="I130" s="9" t="n">
        <x:v>1</x:v>
      </x:c>
    </x:row>
    <x:row r="131" ht="15" hidden="0" customHeight="1">
      <x:c r="A131" s="9" t="str">
        <x:v>core_cboe_vix9d_log_level__missing</x:v>
      </x:c>
      <x:c r="B131" s="9" t="str">
        <x:v>base_or_missing_indicator</x:v>
      </x:c>
      <x:c r="C131" s="9" t="n">
        <x:v>7131</x:v>
      </x:c>
      <x:c r="D131" s="13" t="str">
        <x:v>1997-02-19</x:v>
      </x:c>
      <x:c r="E131" s="13" t="str">
        <x:v>2026-08-14</x:v>
      </x:c>
      <x:c r="F131" s="9" t="n">
        <x:v>0</x:v>
      </x:c>
      <x:c r="G131" s="9" t="n">
        <x:v>0</x:v>
      </x:c>
      <x:c r="H131" s="9" t="n">
        <x:v>0</x:v>
      </x:c>
      <x:c r="I131" s="9" t="n">
        <x:v>1</x:v>
      </x:c>
    </x:row>
    <x:row r="132" ht="15" hidden="0" customHeight="1">
      <x:c r="A132" s="9" t="str">
        <x:v>core_cboe_vix9d_log_level_age_sessions__missing</x:v>
      </x:c>
      <x:c r="B132" s="9" t="str">
        <x:v>base_or_missing_indicator</x:v>
      </x:c>
      <x:c r="C132" s="9" t="n">
        <x:v>7131</x:v>
      </x:c>
      <x:c r="D132" s="13" t="str">
        <x:v>1997-02-19</x:v>
      </x:c>
      <x:c r="E132" s="13" t="str">
        <x:v>2026-08-14</x:v>
      </x:c>
      <x:c r="F132" s="9" t="n">
        <x:v>0</x:v>
      </x:c>
      <x:c r="G132" s="9" t="n">
        <x:v>0</x:v>
      </x:c>
      <x:c r="H132" s="9" t="n">
        <x:v>0</x:v>
      </x:c>
      <x:c r="I132" s="9" t="n">
        <x:v>1</x:v>
      </x:c>
    </x:row>
    <x:row r="133" ht="15" hidden="0" customHeight="1">
      <x:c r="A133" s="9" t="str">
        <x:v>core_cboe_vix3m_log_level__missing</x:v>
      </x:c>
      <x:c r="B133" s="9" t="str">
        <x:v>base_or_missing_indicator</x:v>
      </x:c>
      <x:c r="C133" s="9" t="n">
        <x:v>7131</x:v>
      </x:c>
      <x:c r="D133" s="13" t="str">
        <x:v>1997-02-19</x:v>
      </x:c>
      <x:c r="E133" s="13" t="str">
        <x:v>2026-08-14</x:v>
      </x:c>
      <x:c r="F133" s="9" t="n">
        <x:v>0</x:v>
      </x:c>
      <x:c r="G133" s="9" t="n">
        <x:v>0</x:v>
      </x:c>
      <x:c r="H133" s="9" t="n">
        <x:v>0</x:v>
      </x:c>
      <x:c r="I133" s="9" t="n">
        <x:v>1</x:v>
      </x:c>
    </x:row>
    <x:row r="134" ht="15" hidden="0" customHeight="1">
      <x:c r="A134" s="9" t="str">
        <x:v>core_cboe_vix3m_log_level_age_sessions__missing</x:v>
      </x:c>
      <x:c r="B134" s="9" t="str">
        <x:v>base_or_missing_indicator</x:v>
      </x:c>
      <x:c r="C134" s="9" t="n">
        <x:v>7131</x:v>
      </x:c>
      <x:c r="D134" s="13" t="str">
        <x:v>1997-02-19</x:v>
      </x:c>
      <x:c r="E134" s="13" t="str">
        <x:v>2026-08-14</x:v>
      </x:c>
      <x:c r="F134" s="9" t="n">
        <x:v>0</x:v>
      </x:c>
      <x:c r="G134" s="9" t="n">
        <x:v>0</x:v>
      </x:c>
      <x:c r="H134" s="9" t="n">
        <x:v>0</x:v>
      </x:c>
      <x:c r="I134" s="9" t="n">
        <x:v>1</x:v>
      </x:c>
    </x:row>
    <x:row r="135" ht="15" hidden="0" customHeight="1">
      <x:c r="A135" s="9" t="str">
        <x:v>core_cboe_vvix_log_level__missing</x:v>
      </x:c>
      <x:c r="B135" s="9" t="str">
        <x:v>base_or_missing_indicator</x:v>
      </x:c>
      <x:c r="C135" s="9" t="n">
        <x:v>7131</x:v>
      </x:c>
      <x:c r="D135" s="13" t="str">
        <x:v>1997-02-19</x:v>
      </x:c>
      <x:c r="E135" s="13" t="str">
        <x:v>2026-08-14</x:v>
      </x:c>
      <x:c r="F135" s="9" t="n">
        <x:v>0</x:v>
      </x:c>
      <x:c r="G135" s="9" t="n">
        <x:v>0</x:v>
      </x:c>
      <x:c r="H135" s="9" t="n">
        <x:v>0</x:v>
      </x:c>
      <x:c r="I135" s="9" t="n">
        <x:v>1</x:v>
      </x:c>
    </x:row>
    <x:row r="136" ht="15" hidden="0" customHeight="1">
      <x:c r="A136" s="9" t="str">
        <x:v>core_cboe_vvix_log_level_age_sessions__missing</x:v>
      </x:c>
      <x:c r="B136" s="9" t="str">
        <x:v>base_or_missing_indicator</x:v>
      </x:c>
      <x:c r="C136" s="9" t="n">
        <x:v>7131</x:v>
      </x:c>
      <x:c r="D136" s="13" t="str">
        <x:v>1997-02-19</x:v>
      </x:c>
      <x:c r="E136" s="13" t="str">
        <x:v>2026-08-14</x:v>
      </x:c>
      <x:c r="F136" s="9" t="n">
        <x:v>0</x:v>
      </x:c>
      <x:c r="G136" s="9" t="n">
        <x:v>0</x:v>
      </x:c>
      <x:c r="H136" s="9" t="n">
        <x:v>0</x:v>
      </x:c>
      <x:c r="I136" s="9" t="n">
        <x:v>1</x:v>
      </x:c>
    </x:row>
    <x:row r="137" ht="15" hidden="0" customHeight="1">
      <x:c r="A137" s="9" t="str">
        <x:v>core_cboe_skew__missing</x:v>
      </x:c>
      <x:c r="B137" s="9" t="str">
        <x:v>base_or_missing_indicator</x:v>
      </x:c>
      <x:c r="C137" s="9" t="n">
        <x:v>7131</x:v>
      </x:c>
      <x:c r="D137" s="13" t="str">
        <x:v>1997-02-19</x:v>
      </x:c>
      <x:c r="E137" s="13" t="str">
        <x:v>2026-08-14</x:v>
      </x:c>
      <x:c r="F137" s="9" t="n">
        <x:v>0</x:v>
      </x:c>
      <x:c r="G137" s="9" t="n">
        <x:v>0</x:v>
      </x:c>
      <x:c r="H137" s="9" t="n">
        <x:v>0</x:v>
      </x:c>
      <x:c r="I137" s="9" t="n">
        <x:v>1</x:v>
      </x:c>
    </x:row>
    <x:row r="138" ht="15" hidden="0" customHeight="1">
      <x:c r="A138" s="9" t="str">
        <x:v>core_cboe_skew_age_sessions__missing</x:v>
      </x:c>
      <x:c r="B138" s="9" t="str">
        <x:v>base_or_missing_indicator</x:v>
      </x:c>
      <x:c r="C138" s="9" t="n">
        <x:v>7131</x:v>
      </x:c>
      <x:c r="D138" s="13" t="str">
        <x:v>1997-02-19</x:v>
      </x:c>
      <x:c r="E138" s="13" t="str">
        <x:v>2026-08-14</x:v>
      </x:c>
      <x:c r="F138" s="9" t="n">
        <x:v>0</x:v>
      </x:c>
      <x:c r="G138" s="9" t="n">
        <x:v>0</x:v>
      </x:c>
      <x:c r="H138" s="9" t="n">
        <x:v>0</x:v>
      </x:c>
      <x:c r="I138" s="9" t="n">
        <x:v>1</x:v>
      </x:c>
    </x:row>
    <x:row r="139" ht="15" hidden="0" customHeight="1">
      <x:c r="A139" s="9" t="str">
        <x:v>core_cboe_vix_term_log_slope__missing</x:v>
      </x:c>
      <x:c r="B139" s="9" t="str">
        <x:v>base_or_missing_indicator</x:v>
      </x:c>
      <x:c r="C139" s="9" t="n">
        <x:v>7131</x:v>
      </x:c>
      <x:c r="D139" s="13" t="str">
        <x:v>1997-02-19</x:v>
      </x:c>
      <x:c r="E139" s="13" t="str">
        <x:v>2026-08-14</x:v>
      </x:c>
      <x:c r="F139" s="9" t="n">
        <x:v>0</x:v>
      </x:c>
      <x:c r="G139" s="9" t="n">
        <x:v>0</x:v>
      </x:c>
      <x:c r="H139" s="9" t="n">
        <x:v>0</x:v>
      </x:c>
      <x:c r="I139" s="9" t="n">
        <x:v>1</x:v>
      </x:c>
    </x:row>
    <x:row r="140" ht="15" hidden="0" customHeight="1">
      <x:c r="A140" s="9" t="str">
        <x:v>core_cboe_vix_term_log_slope_age_sessions__missing</x:v>
      </x:c>
      <x:c r="B140" s="9" t="str">
        <x:v>base_or_missing_indicator</x:v>
      </x:c>
      <x:c r="C140" s="9" t="n">
        <x:v>7131</x:v>
      </x:c>
      <x:c r="D140" s="13" t="str">
        <x:v>1997-02-19</x:v>
      </x:c>
      <x:c r="E140" s="13" t="str">
        <x:v>2026-08-14</x:v>
      </x:c>
      <x:c r="F140" s="9" t="n">
        <x:v>0</x:v>
      </x:c>
      <x:c r="G140" s="9" t="n">
        <x:v>0</x:v>
      </x:c>
      <x:c r="H140" s="9" t="n">
        <x:v>0</x:v>
      </x:c>
      <x:c r="I140" s="9" t="n">
        <x:v>1</x:v>
      </x:c>
    </x:row>
    <x:row r="141" ht="15" hidden="0" customHeight="1">
      <x:c r="A141" s="9" t="str">
        <x:v>core_treasury_2y__missing</x:v>
      </x:c>
      <x:c r="B141" s="9" t="str">
        <x:v>base_or_missing_indicator</x:v>
      </x:c>
      <x:c r="C141" s="9" t="n">
        <x:v>7131</x:v>
      </x:c>
      <x:c r="D141" s="13" t="str">
        <x:v>1997-02-19</x:v>
      </x:c>
      <x:c r="E141" s="13" t="str">
        <x:v>2026-08-14</x:v>
      </x:c>
      <x:c r="F141" s="9" t="n">
        <x:v>0</x:v>
      </x:c>
      <x:c r="G141" s="9" t="n">
        <x:v>0</x:v>
      </x:c>
      <x:c r="H141" s="9" t="n">
        <x:v>0</x:v>
      </x:c>
      <x:c r="I141" s="9" t="n">
        <x:v>1</x:v>
      </x:c>
    </x:row>
    <x:row r="142" ht="15" hidden="0" customHeight="1">
      <x:c r="A142" s="9" t="str">
        <x:v>core_treasury_2y_age_sessions__missing</x:v>
      </x:c>
      <x:c r="B142" s="9" t="str">
        <x:v>base_or_missing_indicator</x:v>
      </x:c>
      <x:c r="C142" s="9" t="n">
        <x:v>7131</x:v>
      </x:c>
      <x:c r="D142" s="13" t="str">
        <x:v>1997-02-19</x:v>
      </x:c>
      <x:c r="E142" s="13" t="str">
        <x:v>2026-08-14</x:v>
      </x:c>
      <x:c r="F142" s="9" t="n">
        <x:v>0</x:v>
      </x:c>
      <x:c r="G142" s="9" t="n">
        <x:v>0</x:v>
      </x:c>
      <x:c r="H142" s="9" t="n">
        <x:v>0</x:v>
      </x:c>
      <x:c r="I142" s="9" t="n">
        <x:v>1</x:v>
      </x:c>
    </x:row>
    <x:row r="143" ht="15" hidden="0" customHeight="1">
      <x:c r="A143" s="9" t="str">
        <x:v>core_treasury_10y__missing</x:v>
      </x:c>
      <x:c r="B143" s="9" t="str">
        <x:v>base_or_missing_indicator</x:v>
      </x:c>
      <x:c r="C143" s="9" t="n">
        <x:v>7131</x:v>
      </x:c>
      <x:c r="D143" s="13" t="str">
        <x:v>1997-02-19</x:v>
      </x:c>
      <x:c r="E143" s="13" t="str">
        <x:v>2026-08-14</x:v>
      </x:c>
      <x:c r="F143" s="9" t="n">
        <x:v>0</x:v>
      </x:c>
      <x:c r="G143" s="9" t="n">
        <x:v>0</x:v>
      </x:c>
      <x:c r="H143" s="9" t="n">
        <x:v>0</x:v>
      </x:c>
      <x:c r="I143" s="9" t="n">
        <x:v>1</x:v>
      </x:c>
    </x:row>
    <x:row r="144" ht="15" hidden="0" customHeight="1">
      <x:c r="A144" s="9" t="str">
        <x:v>core_treasury_10y_age_sessions__missing</x:v>
      </x:c>
      <x:c r="B144" s="9" t="str">
        <x:v>base_or_missing_indicator</x:v>
      </x:c>
      <x:c r="C144" s="9" t="n">
        <x:v>7131</x:v>
      </x:c>
      <x:c r="D144" s="13" t="str">
        <x:v>1997-02-19</x:v>
      </x:c>
      <x:c r="E144" s="13" t="str">
        <x:v>2026-08-14</x:v>
      </x:c>
      <x:c r="F144" s="9" t="n">
        <x:v>0</x:v>
      </x:c>
      <x:c r="G144" s="9" t="n">
        <x:v>0</x:v>
      </x:c>
      <x:c r="H144" s="9" t="n">
        <x:v>0</x:v>
      </x:c>
      <x:c r="I144" s="9" t="n">
        <x:v>1</x:v>
      </x:c>
    </x:row>
    <x:row r="145" ht="15" hidden="0" customHeight="1">
      <x:c r="A145" s="9" t="str">
        <x:v>core_treasury_10y2y__missing</x:v>
      </x:c>
      <x:c r="B145" s="9" t="str">
        <x:v>base_or_missing_indicator</x:v>
      </x:c>
      <x:c r="C145" s="9" t="n">
        <x:v>7131</x:v>
      </x:c>
      <x:c r="D145" s="13" t="str">
        <x:v>1997-02-19</x:v>
      </x:c>
      <x:c r="E145" s="13" t="str">
        <x:v>2026-08-14</x:v>
      </x:c>
      <x:c r="F145" s="9" t="n">
        <x:v>0</x:v>
      </x:c>
      <x:c r="G145" s="9" t="n">
        <x:v>0</x:v>
      </x:c>
      <x:c r="H145" s="9" t="n">
        <x:v>0</x:v>
      </x:c>
      <x:c r="I145" s="9" t="n">
        <x:v>1</x:v>
      </x:c>
    </x:row>
    <x:row r="146" ht="15" hidden="0" customHeight="1">
      <x:c r="A146" s="9" t="str">
        <x:v>core_treasury_2y_change_bps__missing</x:v>
      </x:c>
      <x:c r="B146" s="9" t="str">
        <x:v>base_or_missing_indicator</x:v>
      </x:c>
      <x:c r="C146" s="9" t="n">
        <x:v>7131</x:v>
      </x:c>
      <x:c r="D146" s="13" t="str">
        <x:v>1997-02-19</x:v>
      </x:c>
      <x:c r="E146" s="13" t="str">
        <x:v>2026-08-14</x:v>
      </x:c>
      <x:c r="F146" s="9" t="n">
        <x:v>0</x:v>
      </x:c>
      <x:c r="G146" s="9" t="n">
        <x:v>0</x:v>
      </x:c>
      <x:c r="H146" s="9" t="n">
        <x:v>0</x:v>
      </x:c>
      <x:c r="I146" s="9" t="n">
        <x:v>1</x:v>
      </x:c>
    </x:row>
    <x:row r="147" ht="15" hidden="0" customHeight="1">
      <x:c r="A147" s="9" t="str">
        <x:v>core_treasury_real_10y__missing</x:v>
      </x:c>
      <x:c r="B147" s="9" t="str">
        <x:v>base_or_missing_indicator</x:v>
      </x:c>
      <x:c r="C147" s="9" t="n">
        <x:v>7131</x:v>
      </x:c>
      <x:c r="D147" s="13" t="str">
        <x:v>1997-02-19</x:v>
      </x:c>
      <x:c r="E147" s="13" t="str">
        <x:v>2026-08-14</x:v>
      </x:c>
      <x:c r="F147" s="9" t="n">
        <x:v>0</x:v>
      </x:c>
      <x:c r="G147" s="9" t="n">
        <x:v>0</x:v>
      </x:c>
      <x:c r="H147" s="9" t="n">
        <x:v>0</x:v>
      </x:c>
      <x:c r="I147" s="9" t="n">
        <x:v>1</x:v>
      </x:c>
    </x:row>
    <x:row r="148" ht="15" hidden="0" customHeight="1">
      <x:c r="A148" s="9" t="str">
        <x:v>core_treasury_real_10y_age_sessions__missing</x:v>
      </x:c>
      <x:c r="B148" s="9" t="str">
        <x:v>base_or_missing_indicator</x:v>
      </x:c>
      <x:c r="C148" s="9" t="n">
        <x:v>7131</x:v>
      </x:c>
      <x:c r="D148" s="13" t="str">
        <x:v>1997-02-19</x:v>
      </x:c>
      <x:c r="E148" s="13" t="str">
        <x:v>2026-08-14</x:v>
      </x:c>
      <x:c r="F148" s="9" t="n">
        <x:v>0</x:v>
      </x:c>
      <x:c r="G148" s="9" t="n">
        <x:v>0</x:v>
      </x:c>
      <x:c r="H148" s="9" t="n">
        <x:v>0</x:v>
      </x:c>
      <x:c r="I148" s="9" t="n">
        <x:v>1</x:v>
      </x:c>
    </x:row>
    <x:row r="149" ht="15" hidden="0" customHeight="1">
      <x:c r="A149" s="9" t="str">
        <x:v>challenger_ofr_fsi__missing</x:v>
      </x:c>
      <x:c r="B149" s="9" t="str">
        <x:v>base_or_missing_indicator</x:v>
      </x:c>
      <x:c r="C149" s="9" t="n">
        <x:v>7131</x:v>
      </x:c>
      <x:c r="D149" s="13" t="str">
        <x:v>1997-02-19</x:v>
      </x:c>
      <x:c r="E149" s="13" t="str">
        <x:v>2026-08-14</x:v>
      </x:c>
      <x:c r="F149" s="9" t="n">
        <x:v>0</x:v>
      </x:c>
      <x:c r="G149" s="9" t="n">
        <x:v>0</x:v>
      </x:c>
      <x:c r="H149" s="9" t="n">
        <x:v>0</x:v>
      </x:c>
      <x:c r="I149" s="9" t="n">
        <x:v>1</x:v>
      </x:c>
    </x:row>
    <x:row r="150" ht="15" hidden="0" customHeight="1">
      <x:c r="A150" s="9" t="str">
        <x:v>challenger_ofr_fsi_age_sessions__missing</x:v>
      </x:c>
      <x:c r="B150" s="9" t="str">
        <x:v>base_or_missing_indicator</x:v>
      </x:c>
      <x:c r="C150" s="9" t="n">
        <x:v>7131</x:v>
      </x:c>
      <x:c r="D150" s="13" t="str">
        <x:v>1997-02-19</x:v>
      </x:c>
      <x:c r="E150" s="13" t="str">
        <x:v>2026-08-14</x:v>
      </x:c>
      <x:c r="F150" s="9" t="n">
        <x:v>0</x:v>
      </x:c>
      <x:c r="G150" s="9" t="n">
        <x:v>0</x:v>
      </x:c>
      <x:c r="H150" s="9" t="n">
        <x:v>0</x:v>
      </x:c>
      <x:c r="I150" s="9" t="n">
        <x:v>1</x:v>
      </x:c>
    </x:row>
    <x:row r="151" ht="15" hidden="0" customHeight="1">
      <x:c r="A151" s="9" t="str">
        <x:v>challenger_ofr_volatility__missing</x:v>
      </x:c>
      <x:c r="B151" s="9" t="str">
        <x:v>base_or_missing_indicator</x:v>
      </x:c>
      <x:c r="C151" s="9" t="n">
        <x:v>7131</x:v>
      </x:c>
      <x:c r="D151" s="13" t="str">
        <x:v>1997-02-19</x:v>
      </x:c>
      <x:c r="E151" s="13" t="str">
        <x:v>2026-08-14</x:v>
      </x:c>
      <x:c r="F151" s="9" t="n">
        <x:v>0</x:v>
      </x:c>
      <x:c r="G151" s="9" t="n">
        <x:v>0</x:v>
      </x:c>
      <x:c r="H151" s="9" t="n">
        <x:v>0</x:v>
      </x:c>
      <x:c r="I151" s="9" t="n">
        <x:v>1</x:v>
      </x:c>
    </x:row>
    <x:row r="152" ht="15" hidden="0" customHeight="1">
      <x:c r="A152" s="9" t="str">
        <x:v>challenger_ofr_volatility_age_sessions__missing</x:v>
      </x:c>
      <x:c r="B152" s="9" t="str">
        <x:v>base_or_missing_indicator</x:v>
      </x:c>
      <x:c r="C152" s="9" t="n">
        <x:v>7131</x:v>
      </x:c>
      <x:c r="D152" s="13" t="str">
        <x:v>1997-02-19</x:v>
      </x:c>
      <x:c r="E152" s="13" t="str">
        <x:v>2026-08-14</x:v>
      </x:c>
      <x:c r="F152" s="9" t="n">
        <x:v>0</x:v>
      </x:c>
      <x:c r="G152" s="9" t="n">
        <x:v>0</x:v>
      </x:c>
      <x:c r="H152" s="9" t="n">
        <x:v>0</x:v>
      </x:c>
      <x:c r="I152" s="9" t="n">
        <x:v>1</x:v>
      </x:c>
    </x:row>
    <x:row r="153" ht="15" hidden="0" customHeight="1">
      <x:c r="A153" s="9" t="str">
        <x:v>challenger_ofr_funding__missing</x:v>
      </x:c>
      <x:c r="B153" s="9" t="str">
        <x:v>base_or_missing_indicator</x:v>
      </x:c>
      <x:c r="C153" s="9" t="n">
        <x:v>7131</x:v>
      </x:c>
      <x:c r="D153" s="13" t="str">
        <x:v>1997-02-19</x:v>
      </x:c>
      <x:c r="E153" s="13" t="str">
        <x:v>2026-08-14</x:v>
      </x:c>
      <x:c r="F153" s="9" t="n">
        <x:v>0</x:v>
      </x:c>
      <x:c r="G153" s="9" t="n">
        <x:v>0</x:v>
      </x:c>
      <x:c r="H153" s="9" t="n">
        <x:v>0</x:v>
      </x:c>
      <x:c r="I153" s="9" t="n">
        <x:v>1</x:v>
      </x:c>
    </x:row>
    <x:row r="154" ht="15" hidden="0" customHeight="1">
      <x:c r="A154" s="9" t="str">
        <x:v>challenger_ofr_funding_age_sessions__missing</x:v>
      </x:c>
      <x:c r="B154" s="9" t="str">
        <x:v>base_or_missing_indicator</x:v>
      </x:c>
      <x:c r="C154" s="9" t="n">
        <x:v>7131</x:v>
      </x:c>
      <x:c r="D154" s="13" t="str">
        <x:v>1997-02-19</x:v>
      </x:c>
      <x:c r="E154" s="13" t="str">
        <x:v>2026-08-14</x:v>
      </x:c>
      <x:c r="F154" s="9" t="n">
        <x:v>0</x:v>
      </x:c>
      <x:c r="G154" s="9" t="n">
        <x:v>0</x:v>
      </x:c>
      <x:c r="H154" s="9" t="n">
        <x:v>0</x:v>
      </x:c>
      <x:c r="I154" s="9" t="n">
        <x:v>1</x:v>
      </x:c>
    </x:row>
    <x:row r="155" ht="15" hidden="0" customHeight="1">
      <x:c r="A155" s="9" t="str">
        <x:v>challenger_cmdi_market__missing</x:v>
      </x:c>
      <x:c r="B155" s="9" t="str">
        <x:v>base_or_missing_indicator</x:v>
      </x:c>
      <x:c r="C155" s="9" t="n">
        <x:v>7131</x:v>
      </x:c>
      <x:c r="D155" s="13" t="str">
        <x:v>1997-02-19</x:v>
      </x:c>
      <x:c r="E155" s="13" t="str">
        <x:v>2026-08-14</x:v>
      </x:c>
      <x:c r="F155" s="9" t="n">
        <x:v>0</x:v>
      </x:c>
      <x:c r="G155" s="9" t="n">
        <x:v>0</x:v>
      </x:c>
      <x:c r="H155" s="9" t="n">
        <x:v>0</x:v>
      </x:c>
      <x:c r="I155" s="9" t="n">
        <x:v>1</x:v>
      </x:c>
    </x:row>
    <x:row r="156" ht="15" hidden="0" customHeight="1">
      <x:c r="A156" s="9" t="str">
        <x:v>challenger_cmdi_market_age_sessions__missing</x:v>
      </x:c>
      <x:c r="B156" s="9" t="str">
        <x:v>base_or_missing_indicator</x:v>
      </x:c>
      <x:c r="C156" s="9" t="n">
        <x:v>7131</x:v>
      </x:c>
      <x:c r="D156" s="13" t="str">
        <x:v>1997-02-19</x:v>
      </x:c>
      <x:c r="E156" s="13" t="str">
        <x:v>2026-08-14</x:v>
      </x:c>
      <x:c r="F156" s="9" t="n">
        <x:v>0</x:v>
      </x:c>
      <x:c r="G156" s="9" t="n">
        <x:v>0</x:v>
      </x:c>
      <x:c r="H156" s="9" t="n">
        <x:v>0</x:v>
      </x:c>
      <x:c r="I156" s="9" t="n">
        <x:v>1</x:v>
      </x:c>
    </x:row>
    <x:row r="157" ht="15" hidden="0" customHeight="1">
      <x:c r="A157" s="9" t="str">
        <x:v>challenger_cmdi_hy__missing</x:v>
      </x:c>
      <x:c r="B157" s="9" t="str">
        <x:v>base_or_missing_indicator</x:v>
      </x:c>
      <x:c r="C157" s="9" t="n">
        <x:v>7131</x:v>
      </x:c>
      <x:c r="D157" s="13" t="str">
        <x:v>1997-02-19</x:v>
      </x:c>
      <x:c r="E157" s="13" t="str">
        <x:v>2026-08-14</x:v>
      </x:c>
      <x:c r="F157" s="9" t="n">
        <x:v>0</x:v>
      </x:c>
      <x:c r="G157" s="9" t="n">
        <x:v>0</x:v>
      </x:c>
      <x:c r="H157" s="9" t="n">
        <x:v>0</x:v>
      </x:c>
      <x:c r="I157" s="9" t="n">
        <x:v>1</x:v>
      </x:c>
    </x:row>
    <x:row r="158" ht="15" hidden="0" customHeight="1">
      <x:c r="A158" s="9" t="str">
        <x:v>challenger_cmdi_hy_age_sessions__missing</x:v>
      </x:c>
      <x:c r="B158" s="9" t="str">
        <x:v>base_or_missing_indicator</x:v>
      </x:c>
      <x:c r="C158" s="9" t="n">
        <x:v>7131</x:v>
      </x:c>
      <x:c r="D158" s="13" t="str">
        <x:v>1997-02-19</x:v>
      </x:c>
      <x:c r="E158" s="13" t="str">
        <x:v>2026-08-14</x:v>
      </x:c>
      <x:c r="F158" s="9" t="n">
        <x:v>0</x:v>
      </x:c>
      <x:c r="G158" s="9" t="n">
        <x:v>0</x:v>
      </x:c>
      <x:c r="H158" s="9" t="n">
        <x:v>0</x:v>
      </x:c>
      <x:c r="I158" s="9" t="n">
        <x:v>1</x:v>
      </x:c>
    </x:row>
    <x:row r="159" ht="15" hidden="0" customHeight="1">
      <x:c r="A159" s="9" t="str">
        <x:v>challenger_fed_ebp__missing</x:v>
      </x:c>
      <x:c r="B159" s="9" t="str">
        <x:v>base_or_missing_indicator</x:v>
      </x:c>
      <x:c r="C159" s="9" t="n">
        <x:v>7131</x:v>
      </x:c>
      <x:c r="D159" s="13" t="str">
        <x:v>1997-02-19</x:v>
      </x:c>
      <x:c r="E159" s="13" t="str">
        <x:v>2026-08-14</x:v>
      </x:c>
      <x:c r="F159" s="9" t="n">
        <x:v>0</x:v>
      </x:c>
      <x:c r="G159" s="9" t="n">
        <x:v>0</x:v>
      </x:c>
      <x:c r="H159" s="9" t="n">
        <x:v>0</x:v>
      </x:c>
      <x:c r="I159" s="9" t="n">
        <x:v>1</x:v>
      </x:c>
    </x:row>
    <x:row r="160" ht="15" hidden="0" customHeight="1">
      <x:c r="A160" s="9" t="str">
        <x:v>challenger_fed_ebp_age_sessions__missing</x:v>
      </x:c>
      <x:c r="B160" s="9" t="str">
        <x:v>base_or_missing_indicator</x:v>
      </x:c>
      <x:c r="C160" s="9" t="n">
        <x:v>7131</x:v>
      </x:c>
      <x:c r="D160" s="13" t="str">
        <x:v>1997-02-19</x:v>
      </x:c>
      <x:c r="E160" s="13" t="str">
        <x:v>2026-08-14</x:v>
      </x:c>
      <x:c r="F160" s="9" t="n">
        <x:v>0</x:v>
      </x:c>
      <x:c r="G160" s="9" t="n">
        <x:v>0</x:v>
      </x:c>
      <x:c r="H160" s="9" t="n">
        <x:v>0</x:v>
      </x:c>
      <x:c r="I160" s="9" t="n">
        <x:v>1</x:v>
      </x:c>
    </x:row>
    <x:row r="161" ht="15" hidden="0" customHeight="1">
      <x:c r="A161" s="9" t="str">
        <x:v>challenger_fed_gz_spread__missing</x:v>
      </x:c>
      <x:c r="B161" s="9" t="str">
        <x:v>base_or_missing_indicator</x:v>
      </x:c>
      <x:c r="C161" s="9" t="n">
        <x:v>7131</x:v>
      </x:c>
      <x:c r="D161" s="13" t="str">
        <x:v>1997-02-19</x:v>
      </x:c>
      <x:c r="E161" s="13" t="str">
        <x:v>2026-08-14</x:v>
      </x:c>
      <x:c r="F161" s="9" t="n">
        <x:v>0</x:v>
      </x:c>
      <x:c r="G161" s="9" t="n">
        <x:v>0</x:v>
      </x:c>
      <x:c r="H161" s="9" t="n">
        <x:v>0</x:v>
      </x:c>
      <x:c r="I161" s="9" t="n">
        <x:v>1</x:v>
      </x:c>
    </x:row>
    <x:row r="162" ht="15" hidden="0" customHeight="1">
      <x:c r="A162" s="9" t="str">
        <x:v>challenger_fed_gz_spread_age_sessions__missing</x:v>
      </x:c>
      <x:c r="B162" s="9" t="str">
        <x:v>base_or_missing_indicator</x:v>
      </x:c>
      <x:c r="C162" s="9" t="n">
        <x:v>7131</x:v>
      </x:c>
      <x:c r="D162" s="13" t="str">
        <x:v>1997-02-19</x:v>
      </x:c>
      <x:c r="E162" s="13" t="str">
        <x:v>2026-08-14</x:v>
      </x:c>
      <x:c r="F162" s="9" t="n">
        <x:v>0</x:v>
      </x:c>
      <x:c r="G162" s="9" t="n">
        <x:v>0</x:v>
      </x:c>
      <x:c r="H162" s="9" t="n">
        <x:v>0</x:v>
      </x:c>
      <x:c r="I162" s="9" t="n">
        <x:v>1</x:v>
      </x:c>
    </x:row>
    <x:row r="163" ht="15" hidden="0" customHeight="1">
      <x:c r="A163" s="9" t="str">
        <x:v>challenger_nfci__missing</x:v>
      </x:c>
      <x:c r="B163" s="9" t="str">
        <x:v>base_or_missing_indicator</x:v>
      </x:c>
      <x:c r="C163" s="9" t="n">
        <x:v>7131</x:v>
      </x:c>
      <x:c r="D163" s="13" t="str">
        <x:v>1997-02-19</x:v>
      </x:c>
      <x:c r="E163" s="13" t="str">
        <x:v>2026-08-14</x:v>
      </x:c>
      <x:c r="F163" s="9" t="n">
        <x:v>0</x:v>
      </x:c>
      <x:c r="G163" s="9" t="n">
        <x:v>0</x:v>
      </x:c>
      <x:c r="H163" s="9" t="n">
        <x:v>0</x:v>
      </x:c>
      <x:c r="I163" s="9" t="n">
        <x:v>1</x:v>
      </x:c>
    </x:row>
    <x:row r="164" ht="15" hidden="0" customHeight="1">
      <x:c r="A164" s="9" t="str">
        <x:v>challenger_nfci_age_sessions__missing</x:v>
      </x:c>
      <x:c r="B164" s="9" t="str">
        <x:v>base_or_missing_indicator</x:v>
      </x:c>
      <x:c r="C164" s="9" t="n">
        <x:v>7131</x:v>
      </x:c>
      <x:c r="D164" s="13" t="str">
        <x:v>1997-02-19</x:v>
      </x:c>
      <x:c r="E164" s="13" t="str">
        <x:v>2026-08-14</x:v>
      </x:c>
      <x:c r="F164" s="9" t="n">
        <x:v>0</x:v>
      </x:c>
      <x:c r="G164" s="9" t="n">
        <x:v>0</x:v>
      </x:c>
      <x:c r="H164" s="9" t="n">
        <x:v>0</x:v>
      </x:c>
      <x:c r="I164" s="9" t="n">
        <x:v>1</x:v>
      </x:c>
    </x:row>
    <x:row r="165" ht="15" hidden="0" customHeight="1">
      <x:c r="A165" s="9" t="str">
        <x:v>challenger_cftc_asset_manager_net__missing</x:v>
      </x:c>
      <x:c r="B165" s="9" t="str">
        <x:v>base_or_missing_indicator</x:v>
      </x:c>
      <x:c r="C165" s="9" t="n">
        <x:v>7131</x:v>
      </x:c>
      <x:c r="D165" s="13" t="str">
        <x:v>1997-02-19</x:v>
      </x:c>
      <x:c r="E165" s="13" t="str">
        <x:v>2026-08-14</x:v>
      </x:c>
      <x:c r="F165" s="9" t="n">
        <x:v>0</x:v>
      </x:c>
      <x:c r="G165" s="9" t="n">
        <x:v>0</x:v>
      </x:c>
      <x:c r="H165" s="9" t="n">
        <x:v>0</x:v>
      </x:c>
      <x:c r="I165" s="9" t="n">
        <x:v>1</x:v>
      </x:c>
    </x:row>
    <x:row r="166" ht="15" hidden="0" customHeight="1">
      <x:c r="A166" s="9" t="str">
        <x:v>challenger_cftc_asset_manager_net_age_sessions__missing</x:v>
      </x:c>
      <x:c r="B166" s="9" t="str">
        <x:v>base_or_missing_indicator</x:v>
      </x:c>
      <x:c r="C166" s="9" t="n">
        <x:v>7131</x:v>
      </x:c>
      <x:c r="D166" s="13" t="str">
        <x:v>1997-02-19</x:v>
      </x:c>
      <x:c r="E166" s="13" t="str">
        <x:v>2026-08-14</x:v>
      </x:c>
      <x:c r="F166" s="9" t="n">
        <x:v>0</x:v>
      </x:c>
      <x:c r="G166" s="9" t="n">
        <x:v>0</x:v>
      </x:c>
      <x:c r="H166" s="9" t="n">
        <x:v>0</x:v>
      </x:c>
      <x:c r="I166" s="9" t="n">
        <x:v>1</x:v>
      </x:c>
    </x:row>
    <x:row r="167" ht="15" hidden="0" customHeight="1">
      <x:c r="A167" s="9" t="str">
        <x:v>challenger_cftc_leveraged_net__missing</x:v>
      </x:c>
      <x:c r="B167" s="9" t="str">
        <x:v>base_or_missing_indicator</x:v>
      </x:c>
      <x:c r="C167" s="9" t="n">
        <x:v>7131</x:v>
      </x:c>
      <x:c r="D167" s="13" t="str">
        <x:v>1997-02-19</x:v>
      </x:c>
      <x:c r="E167" s="13" t="str">
        <x:v>2026-08-14</x:v>
      </x:c>
      <x:c r="F167" s="9" t="n">
        <x:v>0</x:v>
      </x:c>
      <x:c r="G167" s="9" t="n">
        <x:v>0</x:v>
      </x:c>
      <x:c r="H167" s="9" t="n">
        <x:v>0</x:v>
      </x:c>
      <x:c r="I167" s="9" t="n">
        <x:v>1</x:v>
      </x:c>
    </x:row>
    <x:row r="168" ht="15" hidden="0" customHeight="1">
      <x:c r="A168" s="9" t="str">
        <x:v>challenger_cftc_leveraged_net_age_sessions__missing</x:v>
      </x:c>
      <x:c r="B168" s="9" t="str">
        <x:v>base_or_missing_indicator</x:v>
      </x:c>
      <x:c r="C168" s="9" t="n">
        <x:v>7131</x:v>
      </x:c>
      <x:c r="D168" s="13" t="str">
        <x:v>1997-02-19</x:v>
      </x:c>
      <x:c r="E168" s="13" t="str">
        <x:v>2026-08-14</x:v>
      </x:c>
      <x:c r="F168" s="9" t="n">
        <x:v>0</x:v>
      </x:c>
      <x:c r="G168" s="9" t="n">
        <x:v>0</x:v>
      </x:c>
      <x:c r="H168" s="9" t="n">
        <x:v>0</x:v>
      </x:c>
      <x:c r="I168" s="9" t="n">
        <x:v>1</x:v>
      </x:c>
    </x:row>
    <x:row r="169" ht="15" hidden="0" customHeight="1">
      <x:c r="A169" s="9" t="str">
        <x:v>challenger_finra_notional_log_change__missing</x:v>
      </x:c>
      <x:c r="B169" s="9" t="str">
        <x:v>base_or_missing_indicator</x:v>
      </x:c>
      <x:c r="C169" s="9" t="n">
        <x:v>7131</x:v>
      </x:c>
      <x:c r="D169" s="13" t="str">
        <x:v>1997-02-19</x:v>
      </x:c>
      <x:c r="E169" s="13" t="str">
        <x:v>2026-08-14</x:v>
      </x:c>
      <x:c r="F169" s="9" t="n">
        <x:v>0</x:v>
      </x:c>
      <x:c r="G169" s="9" t="n">
        <x:v>1</x:v>
      </x:c>
      <x:c r="H169" s="9" t="n">
        <x:v>1</x:v>
      </x:c>
      <x:c r="I169" s="9" t="n">
        <x:v>1</x:v>
      </x:c>
    </x:row>
    <x:row r="170" ht="15" hidden="0" customHeight="1">
      <x:c r="A170" s="9" t="str">
        <x:v>challenger_finra_notional_log_change_age_sessions__missing</x:v>
      </x:c>
      <x:c r="B170" s="9" t="str">
        <x:v>base_or_missing_indicator</x:v>
      </x:c>
      <x:c r="C170" s="9" t="n">
        <x:v>7131</x:v>
      </x:c>
      <x:c r="D170" s="13" t="str">
        <x:v>1997-02-19</x:v>
      </x:c>
      <x:c r="E170" s="13" t="str">
        <x:v>2026-08-14</x:v>
      </x:c>
      <x:c r="F170" s="9" t="n">
        <x:v>0</x:v>
      </x:c>
      <x:c r="G170" s="9" t="n">
        <x:v>1</x:v>
      </x:c>
      <x:c r="H170" s="9" t="n">
        <x:v>1</x:v>
      </x:c>
      <x:c r="I170" s="9" t="n">
        <x:v>1</x:v>
      </x:c>
    </x:row>
    <x:row r="171" ht="15" hidden="0" customHeight="1">
      <x:c r="A171" s="9" t="str">
        <x:v>challenger_finra_trades_log_change__missing</x:v>
      </x:c>
      <x:c r="B171" s="9" t="str">
        <x:v>base_or_missing_indicator</x:v>
      </x:c>
      <x:c r="C171" s="9" t="n">
        <x:v>7131</x:v>
      </x:c>
      <x:c r="D171" s="13" t="str">
        <x:v>1997-02-19</x:v>
      </x:c>
      <x:c r="E171" s="13" t="str">
        <x:v>2026-08-14</x:v>
      </x:c>
      <x:c r="F171" s="9" t="n">
        <x:v>0</x:v>
      </x:c>
      <x:c r="G171" s="9" t="n">
        <x:v>1</x:v>
      </x:c>
      <x:c r="H171" s="9" t="n">
        <x:v>1</x:v>
      </x:c>
      <x:c r="I171" s="9" t="n">
        <x:v>1</x:v>
      </x:c>
    </x:row>
    <x:row r="172" ht="15" hidden="0" customHeight="1">
      <x:c r="A172" s="9" t="str">
        <x:v>challenger_finra_trades_log_change_age_sessions__missing</x:v>
      </x:c>
      <x:c r="B172" s="9" t="str">
        <x:v>base_or_missing_indicator</x:v>
      </x:c>
      <x:c r="C172" s="9" t="n">
        <x:v>7131</x:v>
      </x:c>
      <x:c r="D172" s="13" t="str">
        <x:v>1997-02-19</x:v>
      </x:c>
      <x:c r="E172" s="13" t="str">
        <x:v>2026-08-14</x:v>
      </x:c>
      <x:c r="F172" s="9" t="n">
        <x:v>0</x:v>
      </x:c>
      <x:c r="G172" s="9" t="n">
        <x:v>1</x:v>
      </x:c>
      <x:c r="H172" s="9" t="n">
        <x:v>1</x:v>
      </x:c>
      <x:c r="I172" s="9" t="n">
        <x:v>1</x:v>
      </x:c>
    </x:row>
    <x:row r="173" ht="15" hidden="0" customHeight="1">
      <x:c r="A173" s="9" t="str">
        <x:v>challenger_spf_unemployment__missing</x:v>
      </x:c>
      <x:c r="B173" s="9" t="str">
        <x:v>base_or_missing_indicator</x:v>
      </x:c>
      <x:c r="C173" s="9" t="n">
        <x:v>7131</x:v>
      </x:c>
      <x:c r="D173" s="13" t="str">
        <x:v>1997-02-19</x:v>
      </x:c>
      <x:c r="E173" s="13" t="str">
        <x:v>2026-08-14</x:v>
      </x:c>
      <x:c r="F173" s="9" t="n">
        <x:v>0</x:v>
      </x:c>
      <x:c r="G173" s="9" t="n">
        <x:v>0</x:v>
      </x:c>
      <x:c r="H173" s="9" t="n">
        <x:v>0</x:v>
      </x:c>
      <x:c r="I173" s="9" t="n">
        <x:v>1</x:v>
      </x:c>
    </x:row>
    <x:row r="174" ht="15" hidden="0" customHeight="1">
      <x:c r="A174" s="9" t="str">
        <x:v>challenger_spf_unemployment_age_sessions__missing</x:v>
      </x:c>
      <x:c r="B174" s="9" t="str">
        <x:v>base_or_missing_indicator</x:v>
      </x:c>
      <x:c r="C174" s="9" t="n">
        <x:v>7131</x:v>
      </x:c>
      <x:c r="D174" s="13" t="str">
        <x:v>1997-02-19</x:v>
      </x:c>
      <x:c r="E174" s="13" t="str">
        <x:v>2026-08-14</x:v>
      </x:c>
      <x:c r="F174" s="9" t="n">
        <x:v>0</x:v>
      </x:c>
      <x:c r="G174" s="9" t="n">
        <x:v>0</x:v>
      </x:c>
      <x:c r="H174" s="9" t="n">
        <x:v>0</x:v>
      </x:c>
      <x:c r="I174" s="9" t="n">
        <x:v>1</x:v>
      </x:c>
    </x:row>
    <x:row r="175" ht="15" hidden="0" customHeight="1">
      <x:c r="A175" s="9" t="str">
        <x:v>challenger_spf_cpi__missing</x:v>
      </x:c>
      <x:c r="B175" s="9" t="str">
        <x:v>base_or_missing_indicator</x:v>
      </x:c>
      <x:c r="C175" s="9" t="n">
        <x:v>7131</x:v>
      </x:c>
      <x:c r="D175" s="13" t="str">
        <x:v>1997-02-19</x:v>
      </x:c>
      <x:c r="E175" s="13" t="str">
        <x:v>2026-08-14</x:v>
      </x:c>
      <x:c r="F175" s="9" t="n">
        <x:v>0</x:v>
      </x:c>
      <x:c r="G175" s="9" t="n">
        <x:v>0</x:v>
      </x:c>
      <x:c r="H175" s="9" t="n">
        <x:v>0</x:v>
      </x:c>
      <x:c r="I175" s="9" t="n">
        <x:v>1</x:v>
      </x:c>
    </x:row>
    <x:row r="176" ht="15" hidden="0" customHeight="1">
      <x:c r="A176" s="9" t="str">
        <x:v>challenger_spf_cpi_age_sessions__missing</x:v>
      </x:c>
      <x:c r="B176" s="9" t="str">
        <x:v>base_or_missing_indicator</x:v>
      </x:c>
      <x:c r="C176" s="9" t="n">
        <x:v>7131</x:v>
      </x:c>
      <x:c r="D176" s="13" t="str">
        <x:v>1997-02-19</x:v>
      </x:c>
      <x:c r="E176" s="13" t="str">
        <x:v>2026-08-14</x:v>
      </x:c>
      <x:c r="F176" s="9" t="n">
        <x:v>0</x:v>
      </x:c>
      <x:c r="G176" s="9" t="n">
        <x:v>0</x:v>
      </x:c>
      <x:c r="H176" s="9" t="n">
        <x:v>0</x:v>
      </x:c>
      <x:c r="I176" s="9" t="n">
        <x:v>1</x:v>
      </x:c>
    </x:row>
    <x:row r="177" ht="15" hidden="0" customHeight="1">
      <x:c r="A177" s="9" t="str">
        <x:v>challenger_spf_growth__missing</x:v>
      </x:c>
      <x:c r="B177" s="9" t="str">
        <x:v>base_or_missing_indicator</x:v>
      </x:c>
      <x:c r="C177" s="9" t="n">
        <x:v>7131</x:v>
      </x:c>
      <x:c r="D177" s="13" t="str">
        <x:v>1997-02-19</x:v>
      </x:c>
      <x:c r="E177" s="13" t="str">
        <x:v>2026-08-14</x:v>
      </x:c>
      <x:c r="F177" s="9" t="n">
        <x:v>0</x:v>
      </x:c>
      <x:c r="G177" s="9" t="n">
        <x:v>0</x:v>
      </x:c>
      <x:c r="H177" s="9" t="n">
        <x:v>0</x:v>
      </x:c>
      <x:c r="I177" s="9" t="n">
        <x:v>1</x:v>
      </x:c>
    </x:row>
    <x:row r="178" ht="15" hidden="0" customHeight="1">
      <x:c r="A178" s="9" t="str">
        <x:v>challenger_spf_growth_age_sessions__missing</x:v>
      </x:c>
      <x:c r="B178" s="9" t="str">
        <x:v>base_or_missing_indicator</x:v>
      </x:c>
      <x:c r="C178" s="9" t="n">
        <x:v>7131</x:v>
      </x:c>
      <x:c r="D178" s="13" t="str">
        <x:v>1997-02-19</x:v>
      </x:c>
      <x:c r="E178" s="13" t="str">
        <x:v>2026-08-14</x:v>
      </x:c>
      <x:c r="F178" s="9" t="n">
        <x:v>0</x:v>
      </x:c>
      <x:c r="G178" s="9" t="n">
        <x:v>0</x:v>
      </x:c>
      <x:c r="H178" s="9" t="n">
        <x:v>0</x:v>
      </x:c>
      <x:c r="I178" s="9" t="n">
        <x:v>1</x:v>
      </x:c>
    </x:row>
    <x:row r="179" ht="15" hidden="0" customHeight="1">
      <x:c r="A179" s="9" t="str">
        <x:v>challenger_walcl_log_change__missing</x:v>
      </x:c>
      <x:c r="B179" s="9" t="str">
        <x:v>base_or_missing_indicator</x:v>
      </x:c>
      <x:c r="C179" s="9" t="n">
        <x:v>7131</x:v>
      </x:c>
      <x:c r="D179" s="13" t="str">
        <x:v>1997-02-19</x:v>
      </x:c>
      <x:c r="E179" s="13" t="str">
        <x:v>2026-08-14</x:v>
      </x:c>
      <x:c r="F179" s="9" t="n">
        <x:v>0</x:v>
      </x:c>
      <x:c r="G179" s="9" t="n">
        <x:v>0</x:v>
      </x:c>
      <x:c r="H179" s="9" t="n">
        <x:v>0</x:v>
      </x:c>
      <x:c r="I179" s="9" t="n">
        <x:v>1</x:v>
      </x:c>
    </x:row>
    <x:row r="180" ht="15" hidden="0" customHeight="1">
      <x:c r="A180" s="9" t="str">
        <x:v>challenger_walcl_log_change_age_sessions__missing</x:v>
      </x:c>
      <x:c r="B180" s="9" t="str">
        <x:v>base_or_missing_indicator</x:v>
      </x:c>
      <x:c r="C180" s="9" t="n">
        <x:v>7131</x:v>
      </x:c>
      <x:c r="D180" s="13" t="str">
        <x:v>1997-02-19</x:v>
      </x:c>
      <x:c r="E180" s="13" t="str">
        <x:v>2026-08-14</x:v>
      </x:c>
      <x:c r="F180" s="9" t="n">
        <x:v>0</x:v>
      </x:c>
      <x:c r="G180" s="9" t="n">
        <x:v>0</x:v>
      </x:c>
      <x:c r="H180" s="9" t="n">
        <x:v>0</x:v>
      </x:c>
      <x:c r="I180" s="9" t="n">
        <x:v>1</x:v>
      </x:c>
    </x:row>
    <x:row r="181" ht="15" hidden="0" customHeight="1">
      <x:c r="A181" s="9" t="str">
        <x:v>challenger_tga_log_change__missing</x:v>
      </x:c>
      <x:c r="B181" s="9" t="str">
        <x:v>base_or_missing_indicator</x:v>
      </x:c>
      <x:c r="C181" s="9" t="n">
        <x:v>7131</x:v>
      </x:c>
      <x:c r="D181" s="13" t="str">
        <x:v>1997-02-19</x:v>
      </x:c>
      <x:c r="E181" s="13" t="str">
        <x:v>2026-08-14</x:v>
      </x:c>
      <x:c r="F181" s="9" t="n">
        <x:v>0</x:v>
      </x:c>
      <x:c r="G181" s="9" t="n">
        <x:v>0</x:v>
      </x:c>
      <x:c r="H181" s="9" t="n">
        <x:v>0</x:v>
      </x:c>
      <x:c r="I181" s="9" t="n">
        <x:v>1</x:v>
      </x:c>
    </x:row>
    <x:row r="182" ht="15" hidden="0" customHeight="1">
      <x:c r="A182" s="9" t="str">
        <x:v>challenger_tga_log_change_age_sessions__missing</x:v>
      </x:c>
      <x:c r="B182" s="9" t="str">
        <x:v>base_or_missing_indicator</x:v>
      </x:c>
      <x:c r="C182" s="9" t="n">
        <x:v>7131</x:v>
      </x:c>
      <x:c r="D182" s="13" t="str">
        <x:v>1997-02-19</x:v>
      </x:c>
      <x:c r="E182" s="13" t="str">
        <x:v>2026-08-14</x:v>
      </x:c>
      <x:c r="F182" s="9" t="n">
        <x:v>0</x:v>
      </x:c>
      <x:c r="G182" s="9" t="n">
        <x:v>0</x:v>
      </x:c>
      <x:c r="H182" s="9" t="n">
        <x:v>0</x:v>
      </x:c>
      <x:c r="I182" s="9" t="n">
        <x:v>1</x:v>
      </x:c>
    </x:row>
    <x:row r="183" ht="15" hidden="0" customHeight="1">
      <x:c r="A183" s="9" t="str">
        <x:v>challenger_rrp_log1p_change__missing</x:v>
      </x:c>
      <x:c r="B183" s="9" t="str">
        <x:v>base_or_missing_indicator</x:v>
      </x:c>
      <x:c r="C183" s="9" t="n">
        <x:v>7131</x:v>
      </x:c>
      <x:c r="D183" s="13" t="str">
        <x:v>1997-02-19</x:v>
      </x:c>
      <x:c r="E183" s="13" t="str">
        <x:v>2026-08-14</x:v>
      </x:c>
      <x:c r="F183" s="9" t="n">
        <x:v>0</x:v>
      </x:c>
      <x:c r="G183" s="9" t="n">
        <x:v>0</x:v>
      </x:c>
      <x:c r="H183" s="9" t="n">
        <x:v>0</x:v>
      </x:c>
      <x:c r="I183" s="9" t="n">
        <x:v>1</x:v>
      </x:c>
    </x:row>
    <x:row r="184" ht="15" hidden="0" customHeight="1">
      <x:c r="A184" s="9" t="str">
        <x:v>challenger_rrp_log1p_change_age_sessions__missing</x:v>
      </x:c>
      <x:c r="B184" s="9" t="str">
        <x:v>base_or_missing_indicator</x:v>
      </x:c>
      <x:c r="C184" s="9" t="n">
        <x:v>7131</x:v>
      </x:c>
      <x:c r="D184" s="13" t="str">
        <x:v>1997-02-19</x:v>
      </x:c>
      <x:c r="E184" s="13" t="str">
        <x:v>2026-08-14</x:v>
      </x:c>
      <x:c r="F184" s="9" t="n">
        <x:v>0</x:v>
      </x:c>
      <x:c r="G184" s="9" t="n">
        <x:v>0</x:v>
      </x:c>
      <x:c r="H184" s="9" t="n">
        <x:v>0</x:v>
      </x:c>
      <x:c r="I184" s="9" t="n">
        <x:v>1</x:v>
      </x:c>
    </x:row>
    <x:row r="185" ht="15" hidden="0" customHeight="1">
      <x:c r="A185" s="9" t="str">
        <x:v>challenger_ff_market_return__missing</x:v>
      </x:c>
      <x:c r="B185" s="9" t="str">
        <x:v>base_or_missing_indicator</x:v>
      </x:c>
      <x:c r="C185" s="9" t="n">
        <x:v>7131</x:v>
      </x:c>
      <x:c r="D185" s="13" t="str">
        <x:v>1997-02-19</x:v>
      </x:c>
      <x:c r="E185" s="13" t="str">
        <x:v>2026-08-14</x:v>
      </x:c>
      <x:c r="F185" s="9" t="n">
        <x:v>0</x:v>
      </x:c>
      <x:c r="G185" s="9" t="n">
        <x:v>0</x:v>
      </x:c>
      <x:c r="H185" s="9" t="n">
        <x:v>0</x:v>
      </x:c>
      <x:c r="I185" s="9" t="n">
        <x:v>1</x:v>
      </x:c>
    </x:row>
    <x:row r="186" ht="15" hidden="0" customHeight="1">
      <x:c r="A186" s="9" t="str">
        <x:v>challenger_ff_market_return_age_sessions__missing</x:v>
      </x:c>
      <x:c r="B186" s="9" t="str">
        <x:v>base_or_missing_indicator</x:v>
      </x:c>
      <x:c r="C186" s="9" t="n">
        <x:v>7131</x:v>
      </x:c>
      <x:c r="D186" s="13" t="str">
        <x:v>1997-02-19</x:v>
      </x:c>
      <x:c r="E186" s="13" t="str">
        <x:v>2026-08-14</x:v>
      </x:c>
      <x:c r="F186" s="9" t="n">
        <x:v>0</x:v>
      </x:c>
      <x:c r="G186" s="9" t="n">
        <x:v>0</x:v>
      </x:c>
      <x:c r="H186" s="9" t="n">
        <x:v>0</x:v>
      </x:c>
      <x:c r="I186" s="9" t="n">
        <x:v>1</x:v>
      </x:c>
    </x:row>
    <x:row r="187" ht="15" hidden="0" customHeight="1">
      <x:c r="A187" s="9" t="str">
        <x:v>challenger_ff_size_return__missing</x:v>
      </x:c>
      <x:c r="B187" s="9" t="str">
        <x:v>base_or_missing_indicator</x:v>
      </x:c>
      <x:c r="C187" s="9" t="n">
        <x:v>7131</x:v>
      </x:c>
      <x:c r="D187" s="13" t="str">
        <x:v>1997-02-19</x:v>
      </x:c>
      <x:c r="E187" s="13" t="str">
        <x:v>2026-08-14</x:v>
      </x:c>
      <x:c r="F187" s="9" t="n">
        <x:v>0</x:v>
      </x:c>
      <x:c r="G187" s="9" t="n">
        <x:v>0</x:v>
      </x:c>
      <x:c r="H187" s="9" t="n">
        <x:v>0</x:v>
      </x:c>
      <x:c r="I187" s="9" t="n">
        <x:v>1</x:v>
      </x:c>
    </x:row>
    <x:row r="188" ht="15" hidden="0" customHeight="1">
      <x:c r="A188" s="9" t="str">
        <x:v>challenger_ff_size_return_age_sessions__missing</x:v>
      </x:c>
      <x:c r="B188" s="9" t="str">
        <x:v>base_or_missing_indicator</x:v>
      </x:c>
      <x:c r="C188" s="9" t="n">
        <x:v>7131</x:v>
      </x:c>
      <x:c r="D188" s="13" t="str">
        <x:v>1997-02-19</x:v>
      </x:c>
      <x:c r="E188" s="13" t="str">
        <x:v>2026-08-14</x:v>
      </x:c>
      <x:c r="F188" s="9" t="n">
        <x:v>0</x:v>
      </x:c>
      <x:c r="G188" s="9" t="n">
        <x:v>0</x:v>
      </x:c>
      <x:c r="H188" s="9" t="n">
        <x:v>0</x:v>
      </x:c>
      <x:c r="I188" s="9" t="n">
        <x:v>1</x:v>
      </x:c>
    </x:row>
    <x:row r="189" ht="15" hidden="0" customHeight="1">
      <x:c r="A189" s="9" t="str">
        <x:v>challenger_ff_value_return__missing</x:v>
      </x:c>
      <x:c r="B189" s="9" t="str">
        <x:v>base_or_missing_indicator</x:v>
      </x:c>
      <x:c r="C189" s="9" t="n">
        <x:v>7131</x:v>
      </x:c>
      <x:c r="D189" s="13" t="str">
        <x:v>1997-02-19</x:v>
      </x:c>
      <x:c r="E189" s="13" t="str">
        <x:v>2026-08-14</x:v>
      </x:c>
      <x:c r="F189" s="9" t="n">
        <x:v>0</x:v>
      </x:c>
      <x:c r="G189" s="9" t="n">
        <x:v>0</x:v>
      </x:c>
      <x:c r="H189" s="9" t="n">
        <x:v>0</x:v>
      </x:c>
      <x:c r="I189" s="9" t="n">
        <x:v>1</x:v>
      </x:c>
    </x:row>
    <x:row r="190" ht="15" hidden="0" customHeight="1">
      <x:c r="A190" s="9" t="str">
        <x:v>challenger_ff_value_return_age_sessions__missing</x:v>
      </x:c>
      <x:c r="B190" s="9" t="str">
        <x:v>base_or_missing_indicator</x:v>
      </x:c>
      <x:c r="C190" s="9" t="n">
        <x:v>7131</x:v>
      </x:c>
      <x:c r="D190" s="13" t="str">
        <x:v>1997-02-19</x:v>
      </x:c>
      <x:c r="E190" s="13" t="str">
        <x:v>2026-08-14</x:v>
      </x:c>
      <x:c r="F190" s="9" t="n">
        <x:v>0</x:v>
      </x:c>
      <x:c r="G190" s="9" t="n">
        <x:v>0</x:v>
      </x:c>
      <x:c r="H190" s="9" t="n">
        <x:v>0</x:v>
      </x:c>
      <x:c r="I190" s="9" t="n">
        <x:v>1</x:v>
      </x:c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9.130000114440918" hidden="0" customWidth="1"/>
    <x:col min="3" max="3" width="18.75" hidden="0" customWidth="1"/>
    <x:col min="4" max="4" width="13" hidden="0" customWidth="1"/>
    <x:col min="5" max="5" width="32.130001068115234" hidden="0" customWidth="1"/>
    <x:col min="6" max="6" width="32.5" hidden="0" customWidth="1"/>
  </x:cols>
  <x:sheetData>
    <x:row r="1" ht="28" customHeight="1">
      <x:c r="A1" s="3" t="str">
        <x:v>NASDAQ V5 · Forecasts</x:v>
      </x:c>
      <x:c r="B1" s="3" t="str">
        <x:v>NASDAQ V5 · Forecasts</x:v>
      </x:c>
      <x:c r="C1" s="3" t="str">
        <x:v>NASDAQ V5 · Forecasts</x:v>
      </x:c>
      <x:c r="D1" s="3" t="str">
        <x:v>NASDAQ V5 · Forecasts</x:v>
      </x:c>
      <x:c r="E1" s="3" t="str">
        <x:v>NASDAQ V5 · Forecasts</x:v>
      </x:c>
      <x:c r="F1" s="3" t="str">
        <x:v>NASDAQ V5 · Forecasts</x:v>
      </x:c>
    </x:row>
    <x:row r="3" ht="15" hidden="0" customHeight="1">
      <x:c r="A3" s="7" t="str">
        <x:v>forecast_id</x:v>
      </x:c>
      <x:c r="B3" s="7" t="str">
        <x:v>as_of</x:v>
      </x:c>
      <x:c r="C3" s="7" t="str">
        <x:v>status</x:v>
      </x:c>
      <x:c r="D3" s="7" t="str">
        <x:v>numbers_visible</x:v>
      </x:c>
      <x:c r="E3" s="7" t="str">
        <x:v>backtest_run_id</x:v>
      </x:c>
      <x:c r="F3" s="7" t="str">
        <x:v>content_hash</x:v>
      </x:c>
    </x:row>
    <x:row r="4" ht="15" hidden="0" customHeight="1">
      <x:c r="A4" s="9" t="str">
        <x:v>latest-hold-artifact</x:v>
      </x:c>
      <x:c r="B4" s="9" t="str">
        <x:v>2026-08-14</x:v>
      </x:c>
      <x:c r="C4" s="9" t="str">
        <x:v>shadow_validation_hold</x:v>
      </x:c>
      <x:c r="D4" s="12" t="b">
        <x:v>0</x:v>
      </x:c>
      <x:c r="E4" s="9" t="str">
        <x:v>tsv5-research-92c262efafd01118e1dd82cc</x:v>
      </x:c>
      <x:c r="F4" s="9" t="str">
        <x:v>e265b301dbe284e79c3ee5cdaff9f9ceb63edf2b2996c06ab346b74fe01d2cbd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5" hidden="0" customWidth="1"/>
    <x:col min="2" max="2" width="5.630000114440918" hidden="0" customWidth="1"/>
    <x:col min="3" max="3" width="10.380000114440918" hidden="0" customWidth="1"/>
    <x:col min="4" max="4" width="11" hidden="0" customWidth="1"/>
    <x:col min="5" max="5" width="10.880000114440918" hidden="0" customWidth="1"/>
    <x:col min="6" max="6" width="14.880000114440918" hidden="0" customWidth="1"/>
    <x:col min="7" max="7" width="14.880000114440918" hidden="0" customWidth="1"/>
    <x:col min="8" max="8" width="14.380000114440918" hidden="0" customWidth="1"/>
  </x:cols>
  <x:sheetData>
    <x:row r="1" ht="28" customHeight="1">
      <x:c r="A1" s="3" t="str">
        <x:v>NASDAQ V5 · Backtest</x:v>
      </x:c>
      <x:c r="B1" s="3" t="str">
        <x:v>NASDAQ V5 · Backtest</x:v>
      </x:c>
      <x:c r="C1" s="3" t="str">
        <x:v>NASDAQ V5 · Backtest</x:v>
      </x:c>
      <x:c r="D1" s="3" t="str">
        <x:v>NASDAQ V5 · Backtest</x:v>
      </x:c>
      <x:c r="E1" s="3" t="str">
        <x:v>NASDAQ V5 · Backtest</x:v>
      </x:c>
      <x:c r="F1" s="3" t="str">
        <x:v>NASDAQ V5 · Backtest</x:v>
      </x:c>
      <x:c r="G1" s="3" t="str">
        <x:v>NASDAQ V5 · Backtest</x:v>
      </x:c>
      <x:c r="H1" s="3" t="str">
        <x:v>NASDAQ V5 · Backtest</x:v>
      </x:c>
    </x:row>
    <x:row r="3" ht="15" hidden="0" customHeight="1">
      <x:c r="A3" s="7" t="str">
        <x:v>horizon</x:v>
      </x:c>
      <x:c r="B3" s="7" t="str">
        <x:v>origins</x:v>
      </x:c>
      <x:c r="C3" s="7" t="str">
        <x:v>model_crps</x:v>
      </x:c>
      <x:c r="D3" s="7" t="str">
        <x:v>baseline_crps</x:v>
      </x:c>
      <x:c r="E3" s="7" t="str">
        <x:v>improvement</x:v>
      </x:c>
      <x:c r="F3" s="7" t="str">
        <x:v>p10_p90_coverage</x:v>
      </x:c>
      <x:c r="G3" s="7" t="str">
        <x:v>p25_p75_coverage</x:v>
      </x:c>
      <x:c r="H3" s="7" t="str">
        <x:v>lower_miss_share</x:v>
      </x:c>
    </x:row>
    <x:row r="4" ht="15" hidden="0" customHeight="1">
      <x:c r="A4" s="9" t="str">
        <x:v>1</x:v>
      </x:c>
      <x:c r="B4" s="9" t="n">
        <x:v>963</x:v>
      </x:c>
      <x:c r="C4" s="9" t="n">
        <x:v>0.0071895654232209515</x:v>
      </x:c>
      <x:c r="D4" s="9" t="n">
        <x:v>0.007204831088220281</x:v>
      </x:c>
      <x:c r="E4" s="9" t="n">
        <x:v>0.002118809561585481</x:v>
      </x:c>
      <x:c r="F4" s="9" t="n">
        <x:v>0.7881619937694704</x:v>
      </x:c>
      <x:c r="G4" s="9" t="n">
        <x:v>0.5181723779854621</x:v>
      </x:c>
      <x:c r="H4" s="9" t="n">
        <x:v>0.47058823529411764</x:v>
      </x:c>
    </x:row>
    <x:row r="5" ht="15" hidden="0" customHeight="1">
      <x:c r="A5" s="9" t="str">
        <x:v>5</x:v>
      </x:c>
      <x:c r="B5" s="9" t="n">
        <x:v>963</x:v>
      </x:c>
      <x:c r="C5" s="9" t="n">
        <x:v>0.015120610532810929</x:v>
      </x:c>
      <x:c r="D5" s="9" t="n">
        <x:v>0.015113823779926854</x:v>
      </x:c>
      <x:c r="E5" s="9" t="n">
        <x:v>-0.00044904274278281407</x:v>
      </x:c>
      <x:c r="F5" s="9" t="n">
        <x:v>0.7653167185877466</x:v>
      </x:c>
      <x:c r="G5" s="9" t="n">
        <x:v>0.48494288681204567</x:v>
      </x:c>
      <x:c r="H5" s="9" t="n">
        <x:v>0.5132743362831859</x:v>
      </x:c>
    </x:row>
    <x:row r="6" ht="15" hidden="0" customHeight="1">
      <x:c r="A6" s="9" t="str">
        <x:v>21</x:v>
      </x:c>
      <x:c r="B6" s="9" t="n">
        <x:v>963</x:v>
      </x:c>
      <x:c r="C6" s="9" t="n">
        <x:v>0.033260686170509965</x:v>
      </x:c>
      <x:c r="D6" s="9" t="n">
        <x:v>0.030049342246009376</x:v>
      </x:c>
      <x:c r="E6" s="9" t="n">
        <x:v>-0.10686902555835688</x:v>
      </x:c>
      <x:c r="F6" s="9" t="n">
        <x:v>0.770508826583593</x:v>
      </x:c>
      <x:c r="G6" s="9" t="n">
        <x:v>0.48701973001038423</x:v>
      </x:c>
      <x:c r="H6" s="9" t="n">
        <x:v>0.5339366515837104</x:v>
      </x:c>
    </x:row>
    <x:row r="7" ht="15" hidden="0" customHeight="1">
      <x:c r="A7" s="9" t="str">
        <x:v>63</x:v>
      </x:c>
      <x:c r="B7" s="9" t="n">
        <x:v>963</x:v>
      </x:c>
      <x:c r="C7" s="9" t="n">
        <x:v>0.05564132580181416</x:v>
      </x:c>
      <x:c r="D7" s="9" t="n">
        <x:v>0.05181759765633686</x:v>
      </x:c>
      <x:c r="E7" s="9" t="n">
        <x:v>-0.07379207679284785</x:v>
      </x:c>
      <x:c r="F7" s="9" t="n">
        <x:v>0.7300103842159917</x:v>
      </x:c>
      <x:c r="G7" s="9" t="n">
        <x:v>0.4714434060228453</x:v>
      </x:c>
      <x:c r="H7" s="9" t="n">
        <x:v>0.5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5" hidden="0" customWidth="1"/>
    <x:col min="2" max="2" width="52" hidden="0" customWidth="1"/>
    <x:col min="4" max="4" width="24" hidden="0" customWidth="1"/>
    <x:col min="5" max="5" width="12" hidden="0" customWidth="1"/>
  </x:cols>
  <x:sheetData>
    <x:row r="1" ht="28" customHeight="1">
      <x:c r="A1" s="3" t="str">
        <x:v>NASDAQ V5 · ModelCard</x:v>
      </x:c>
      <x:c r="B1" s="3" t="str">
        <x:v>NASDAQ V5 · ModelCard</x:v>
      </x:c>
    </x:row>
    <x:row r="3" ht="15" hidden="0" customHeight="1">
      <x:c r="A3" s="7" t="str">
        <x:v>field</x:v>
      </x:c>
      <x:c r="B3" s="7" t="str">
        <x:v>value</x:v>
      </x:c>
      <x:c r="D3" s="16" t="str">
        <x:v>Audit check</x:v>
      </x:c>
      <x:c r="E3" s="16" t="str">
        <x:v>Status</x:v>
      </x:c>
    </x:row>
    <x:row r="4" ht="15" hidden="0" customHeight="1">
      <x:c r="A4" s="9" t="str">
        <x:v>Model ID</x:v>
      </x:c>
      <x:c r="B4" s="18" t="str">
        <x:v>shadow.nasdaq_pit_hybrid_distribution_v5</x:v>
      </x:c>
      <x:c r="D4" s="17" t="str">
        <x:v>Probability unit</x:v>
      </x:c>
      <x:c r="E4" s="17" t="str">
        <x:f>IF('ModelCard'!B5="research_timeseries_v5_conditional","OK","FAIL")</x:f>
        <x:v>OK</x:v>
      </x:c>
    </x:row>
    <x:row r="5" ht="15" hidden="0" customHeight="1">
      <x:c r="A5" s="9" t="str">
        <x:v>Probability space</x:v>
      </x:c>
      <x:c r="B5" s="18" t="str">
        <x:v>research_timeseries_v5_conditional</x:v>
      </x:c>
      <x:c r="D5" s="17" t="str">
        <x:v>Official write disabled</x:v>
      </x:c>
      <x:c r="E5" s="17" t="str">
        <x:f>IF('ModelCard'!B13=FALSE,"OK","FAIL")</x:f>
        <x:v>OK</x:v>
      </x:c>
    </x:row>
    <x:row r="6" ht="15" hidden="0" customHeight="1">
      <x:c r="A6" s="9" t="str">
        <x:v>Contract hash</x:v>
      </x:c>
      <x:c r="B6" s="18" t="str">
        <x:v>a103718124311b6ea2e167793e1b062be22800658a9fcaef3fac03eabacecd79</x:v>
      </x:c>
      <x:c r="D6" s="17" t="str">
        <x:v>Scenario isolation</x:v>
      </x:c>
      <x:c r="E6" s="17" t="str">
        <x:f>IF('ModelCard'!B14=FALSE,"OK","FAIL")</x:f>
        <x:v>OK</x:v>
      </x:c>
    </x:row>
    <x:row r="7" ht="15" hidden="0" customHeight="1">
      <x:c r="A7" s="9" t="str">
        <x:v>Research Gate</x:v>
      </x:c>
      <x:c r="B7" s="19" t="b">
        <x:v>0</x:v>
      </x:c>
      <x:c r="D7" s="17" t="str">
        <x:v>Research Gate</x:v>
      </x:c>
      <x:c r="E7" s="17" t="str">
        <x:f>IF('ModelCard'!B7=TRUE,"PASS","HOLD")</x:f>
        <x:v>HOLD</x:v>
      </x:c>
    </x:row>
    <x:row r="8" ht="72" hidden="0" customHeight="1">
      <x:c r="A8" s="9" t="str">
        <x:v>Gate reasons</x:v>
      </x:c>
      <x:c r="B8" s="18" t="str">
        <x:v>21/63 mean CRPS improvement below 2% | a long horizon failed positive improvement | paired bootstrap CI upper bound is above zero | one return-sign side underperforms by more than 5% | extreme-move Q4 coverage gate failed | stress-regime coverage gate failed | p10-p90 coverage range gate failed</x:v>
      </x:c>
    </x:row>
    <x:row r="9" ht="15" hidden="0" customHeight="1">
      <x:c r="A9" s="9" t="str">
        <x:v>Evaluation role</x:v>
      </x:c>
      <x:c r="B9" s="18" t="str">
        <x:v>research_pseudo_oos</x:v>
      </x:c>
    </x:row>
    <x:row r="10" ht="15" hidden="0" customHeight="1">
      <x:c r="A10" s="9" t="str">
        <x:v>Data grades</x:v>
      </x:c>
      <x:c r="B10" s="18" t="str">
        <x:v>reconstructed_market_archive | reconstructed_official_archive | captured_forward</x:v>
      </x:c>
    </x:row>
    <x:row r="11" ht="15" hidden="0" customHeight="1">
      <x:c r="A11" s="9" t="str">
        <x:v>Candidate selected horizons</x:v>
      </x:c>
      <x:c r="B11" s="18" t="n">
        <x:v>4</x:v>
      </x:c>
    </x:row>
    <x:row r="12" ht="15" hidden="0" customHeight="1">
      <x:c r="A12" s="9" t="str">
        <x:v>Sealed run ID</x:v>
      </x:c>
      <x:c r="B12" s="18" t="str">
        <x:v>tsv5-research-92c262efafd01118e1dd82cc</x:v>
      </x:c>
    </x:row>
    <x:row r="13" ht="15" hidden="0" customHeight="1">
      <x:c r="A13" s="9" t="str">
        <x:v>Official write</x:v>
      </x:c>
      <x:c r="B13" s="19" t="b">
        <x:v>0</x:v>
      </x:c>
    </x:row>
    <x:row r="14" ht="15" hidden="0" customHeight="1">
      <x:c r="A14" s="9" t="str">
        <x:v>Scenario combination</x:v>
      </x:c>
      <x:c r="B14" s="19" t="b">
        <x:v>0</x:v>
      </x:c>
    </x:row>
    <x:row r="15" ht="15" hidden="0" customHeight="1">
      <x:c r="A15" s="9" t="str">
        <x:v>Automatic champion</x:v>
      </x:c>
      <x:c r="B15" s="19" t="b">
        <x:v>0</x:v>
      </x:c>
    </x:row>
  </x:sheetData>
  <x:mergeCells>
    <x:mergeCell ref="A1:B1"/>
  </x:mergeCells>
  <x:conditionalFormatting sqref="E4:E7">
    <x:cfRule type="containsText" dxfId="0" priority="1" operator="containsText" text="OK"/>
    <x:cfRule type="containsText" dxfId="1" priority="2" operator="containsText" text="FAIL"/>
    <x:cfRule type="containsText" dxfId="2" priority="3" operator="containsText" text="HOL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2.5" hidden="0" customWidth="1"/>
  </x:cols>
  <x:sheetData>
    <x:row r="1" ht="28" customHeight="1">
      <x:c r="A1" s="3" t="str">
        <x:v>NASDAQ V5 · RunManifest</x:v>
      </x:c>
      <x:c r="B1" s="3" t="str">
        <x:v>NASDAQ V5 · RunManifest</x:v>
      </x:c>
    </x:row>
    <x:row r="3" ht="15" hidden="0" customHeight="1">
      <x:c r="A3" s="7" t="str">
        <x:v>item</x:v>
      </x:c>
      <x:c r="B3" s="7" t="str">
        <x:v>value</x:v>
      </x:c>
    </x:row>
    <x:row r="4" ht="15" hidden="0" customHeight="1">
      <x:c r="A4" s="9" t="str">
        <x:v>Generated at</x:v>
      </x:c>
      <x:c r="B4" s="14" t="n">
        <x:v>46258.137206203704</x:v>
      </x:c>
    </x:row>
    <x:row r="5" ht="15" hidden="0" customHeight="1">
      <x:c r="A5" s="9" t="str">
        <x:v>Source catalog rows</x:v>
      </x:c>
      <x:c r="B5" s="9" t="n">
        <x:v>24</x:v>
      </x:c>
    </x:row>
    <x:row r="6" ht="15" hidden="0" customHeight="1">
      <x:c r="A6" s="9" t="str">
        <x:v>Canonical observation rows</x:v>
      </x:c>
      <x:c r="B6" s="9" t="n">
        <x:v>1466821</x:v>
      </x:c>
    </x:row>
    <x:row r="7" ht="15" hidden="0" customHeight="1">
      <x:c r="A7" s="9" t="str">
        <x:v>Active observation keys</x:v>
      </x:c>
      <x:c r="B7" s="9" t="n">
        <x:v>961161</x:v>
      </x:c>
    </x:row>
    <x:row r="8" ht="15" hidden="0" customHeight="1">
      <x:c r="A8" s="9" t="str">
        <x:v>Explicit revision rows</x:v>
      </x:c>
      <x:c r="B8" s="9" t="n">
        <x:v>505660</x:v>
      </x:c>
    </x:row>
    <x:row r="9" ht="15" hidden="0" customHeight="1">
      <x:c r="A9" s="9" t="str">
        <x:v>Receipt rows</x:v>
      </x:c>
      <x:c r="B9" s="9" t="n">
        <x:v>82</x:v>
      </x:c>
    </x:row>
    <x:row r="10" ht="15" hidden="0" customHeight="1">
      <x:c r="A10" s="9" t="str">
        <x:v>Receipt-fact link rows</x:v>
      </x:c>
      <x:c r="B10" s="9" t="n">
        <x:v>1466872</x:v>
      </x:c>
    </x:row>
    <x:row r="11" ht="15" hidden="0" customHeight="1">
      <x:c r="A11" s="9" t="str">
        <x:v>Normalization corrections</x:v>
      </x:c>
      <x:c r="B11" s="9" t="n">
        <x:v>1</x:v>
      </x:c>
    </x:row>
    <x:row r="12" ht="15" hidden="0" customHeight="1">
      <x:c r="A12" s="9" t="str">
        <x:v>Labels</x:v>
      </x:c>
      <x:c r="B12" s="9" t="n">
        <x:v>28434</x:v>
      </x:c>
    </x:row>
    <x:row r="13" ht="15" hidden="0" customHeight="1">
      <x:c r="A13" s="9" t="str">
        <x:v>Parquet content hash</x:v>
      </x:c>
      <x:c r="B13" s="9" t="str">
        <x:v>ff4f43eb1938991a078c146c48bc53728bd98ea0a47427e31dcdc223ba164576</x:v>
      </x:c>
    </x:row>
    <x:row r="14" ht="15" hidden="0" customHeight="1">
      <x:c r="A14" s="9" t="str">
        <x:v>Lineage pass</x:v>
      </x:c>
      <x:c r="B14" s="12" t="b">
        <x:v>1</x:v>
      </x:c>
    </x:row>
    <x:row r="15" ht="15" hidden="0" customHeight="1">
      <x:c r="A15" s="9" t="str">
        <x:v>Observation linkage</x:v>
      </x:c>
      <x:c r="B15" s="9" t="n">
        <x:v>1</x:v>
      </x:c>
    </x:row>
    <x:row r="16" ht="15" hidden="0" customHeight="1">
      <x:c r="A16" s="9" t="str">
        <x:v>Collection run</x:v>
      </x:c>
      <x:c r="B16" s="9" t="str">
        <x:v>collect-6982ad41e8db738a1b29e876</x:v>
      </x:c>
    </x:row>
    <x:row r="17" ht="15" hidden="0" customHeight="1">
      <x:c r="A17" s="9" t="str">
        <x:v>Protected baseline hash</x:v>
      </x:c>
      <x:c r="B17" s="9" t="str">
        <x:v>b13a0915db5683a8c6b6da6081a8292aafbd7c075e6b835fc6d511e63c5ba94b</x:v>
      </x:c>
    </x:row>
    <x:row r="18" ht="15" hidden="0" customHeight="1">
      <x:c r="A18" s="9" t="str">
        <x:v>Feature definitions</x:v>
      </x:c>
      <x:c r="B18" s="9" t="n">
        <x:v>187</x:v>
      </x:c>
    </x:row>
    <x:row r="19" ht="15" hidden="0" customHeight="1">
      <x:c r="A19" s="9" t="str">
        <x:v>Forecasts</x:v>
      </x:c>
      <x:c r="B19" s="9" t="n">
        <x:v>1</x:v>
      </x:c>
    </x:row>
    <x:row r="20" ht="15" hidden="0" customHeight="1">
      <x:c r="A20" s="9" t="str">
        <x:v>Backtest rows</x:v>
      </x:c>
      <x:c r="B20" s="9" t="n">
        <x:v>4</x:v>
      </x:c>
    </x:row>
    <x:row r="21" ht="15" hidden="0" customHeight="1">
      <x:c r="A21" s="9" t="str">
        <x:v>Sheet count</x:v>
      </x:c>
      <x:c r="B21" s="9" t="n">
        <x:v>8</x:v>
      </x:c>
    </x:row>
  </x:sheetData>
  <x:mergeCells>
    <x:mergeCell ref="A1:B1"/>
  </x:mergeCells>
  <x:pageMargins left="0.7" right="0.7" top="0.75" bottom="0.75" header="0.3" footer="0.3"/>
</x:worksheet>
</file>